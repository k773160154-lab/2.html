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0" documentId="13_ncr:1_{C03076EC-C0DC-4692-A9D7-943B2BCED492}" xr6:coauthVersionLast="47" xr6:coauthVersionMax="47" xr10:uidLastSave="{9DBD1A9D-D280-488B-9E32-8A17CC6915E7}"/>
  <bookViews>
    <workbookView xWindow="-108" yWindow="-108" windowWidth="23256" windowHeight="12576" activeTab="4" xr2:uid="{00000000-000D-0000-FFFF-FFFF00000000}"/>
  </bookViews>
  <sheets>
    <sheet name="الاول" sheetId="4" r:id="rId1"/>
    <sheet name="التاني" sheetId="6" r:id="rId2"/>
    <sheet name="السابع" sheetId="7" r:id="rId3"/>
    <sheet name="التامن" sheetId="8" r:id="rId4"/>
    <sheet name="التاسع" sheetId="9" r:id="rId5"/>
  </sheets>
  <definedNames>
    <definedName name="_xlnm.Print_Area" localSheetId="0">الاول!$A$1:$AD$242</definedName>
    <definedName name="_xlnm.Print_Area" localSheetId="4">التاسع!$A$1:$AE$220</definedName>
    <definedName name="_xlnm.Print_Area" localSheetId="3">التامن!$A$1:$AC$280</definedName>
    <definedName name="_xlnm.Print_Area" localSheetId="1">التاني!$A$1:$AD$144</definedName>
    <definedName name="_xlnm.Print_Area" localSheetId="2">السابع!$A$1:$AD$318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8" i="4" l="1"/>
  <c r="E187" i="4"/>
  <c r="W298" i="7"/>
  <c r="AA298" i="7"/>
  <c r="T298" i="7"/>
  <c r="Q298" i="7"/>
  <c r="N298" i="7"/>
  <c r="K298" i="7"/>
  <c r="H298" i="7"/>
  <c r="E298" i="7"/>
  <c r="AA295" i="7"/>
  <c r="T295" i="7"/>
  <c r="T296" i="7"/>
  <c r="T297" i="7"/>
  <c r="W295" i="7"/>
  <c r="W296" i="7"/>
  <c r="W297" i="7"/>
  <c r="Q295" i="7"/>
  <c r="Q296" i="7"/>
  <c r="Q297" i="7"/>
  <c r="N295" i="7"/>
  <c r="N296" i="7"/>
  <c r="N297" i="7"/>
  <c r="K295" i="7"/>
  <c r="K296" i="7"/>
  <c r="K297" i="7"/>
  <c r="H295" i="7"/>
  <c r="H296" i="7"/>
  <c r="H297" i="7"/>
  <c r="E296" i="7"/>
  <c r="E297" i="7"/>
  <c r="E295" i="7"/>
  <c r="E294" i="7"/>
  <c r="N92" i="7"/>
  <c r="AA91" i="7"/>
  <c r="W92" i="7"/>
  <c r="T92" i="7"/>
  <c r="Q92" i="7"/>
  <c r="K92" i="7"/>
  <c r="H92" i="7"/>
  <c r="E92" i="7"/>
  <c r="E91" i="7"/>
  <c r="E63" i="7"/>
  <c r="H63" i="7"/>
  <c r="K63" i="7"/>
  <c r="N63" i="7"/>
  <c r="Q63" i="7"/>
  <c r="T63" i="7"/>
  <c r="W63" i="7"/>
  <c r="AA63" i="7"/>
  <c r="E64" i="7"/>
  <c r="H64" i="7"/>
  <c r="K64" i="7"/>
  <c r="N64" i="7"/>
  <c r="Q64" i="7"/>
  <c r="T64" i="7"/>
  <c r="W64" i="7"/>
  <c r="AA64" i="7"/>
  <c r="E65" i="7"/>
  <c r="H65" i="7"/>
  <c r="K65" i="7"/>
  <c r="N65" i="7"/>
  <c r="Q65" i="7"/>
  <c r="T65" i="7"/>
  <c r="W65" i="7"/>
  <c r="AA65" i="7"/>
  <c r="W294" i="7"/>
  <c r="AA294" i="7" s="1"/>
  <c r="T294" i="7"/>
  <c r="Q294" i="7"/>
  <c r="N294" i="7"/>
  <c r="K294" i="7"/>
  <c r="H294" i="7"/>
  <c r="W113" i="4"/>
  <c r="W125" i="4"/>
  <c r="K260" i="8"/>
  <c r="K22" i="8"/>
  <c r="AA297" i="7" l="1"/>
  <c r="AA296" i="7"/>
  <c r="AA92" i="7"/>
  <c r="Q49" i="7"/>
  <c r="E46" i="7"/>
  <c r="W262" i="8" l="1"/>
  <c r="T262" i="8"/>
  <c r="Q262" i="8"/>
  <c r="N262" i="8"/>
  <c r="K262" i="8"/>
  <c r="H262" i="8"/>
  <c r="E262" i="8"/>
  <c r="W266" i="8"/>
  <c r="AA266" i="8" s="1"/>
  <c r="T266" i="8"/>
  <c r="Q266" i="8"/>
  <c r="N266" i="8"/>
  <c r="K266" i="8"/>
  <c r="H266" i="8"/>
  <c r="E266" i="8"/>
  <c r="W267" i="8"/>
  <c r="T267" i="8"/>
  <c r="Q267" i="8"/>
  <c r="N267" i="8"/>
  <c r="K267" i="8"/>
  <c r="H267" i="8"/>
  <c r="E267" i="8"/>
  <c r="W261" i="8"/>
  <c r="T261" i="8"/>
  <c r="Q261" i="8"/>
  <c r="N261" i="8"/>
  <c r="K261" i="8"/>
  <c r="H261" i="8"/>
  <c r="E261" i="8"/>
  <c r="W260" i="8"/>
  <c r="T260" i="8"/>
  <c r="Q260" i="8"/>
  <c r="N260" i="8"/>
  <c r="H260" i="8"/>
  <c r="E260" i="8"/>
  <c r="W259" i="8"/>
  <c r="T259" i="8"/>
  <c r="Q259" i="8"/>
  <c r="N259" i="8"/>
  <c r="K259" i="8"/>
  <c r="H259" i="8"/>
  <c r="E259" i="8"/>
  <c r="W258" i="8"/>
  <c r="T258" i="8"/>
  <c r="Q258" i="8"/>
  <c r="N258" i="8"/>
  <c r="K258" i="8"/>
  <c r="H258" i="8"/>
  <c r="E258" i="8"/>
  <c r="W257" i="8"/>
  <c r="T257" i="8"/>
  <c r="Q257" i="8"/>
  <c r="N257" i="8"/>
  <c r="K257" i="8"/>
  <c r="H257" i="8"/>
  <c r="E257" i="8"/>
  <c r="W256" i="8"/>
  <c r="T256" i="8"/>
  <c r="Q256" i="8"/>
  <c r="N256" i="8"/>
  <c r="K256" i="8"/>
  <c r="H256" i="8"/>
  <c r="E256" i="8"/>
  <c r="W240" i="8"/>
  <c r="T240" i="8"/>
  <c r="Q240" i="8"/>
  <c r="N240" i="8"/>
  <c r="K240" i="8"/>
  <c r="H240" i="8"/>
  <c r="E240" i="8"/>
  <c r="W239" i="8"/>
  <c r="T239" i="8"/>
  <c r="Q239" i="8"/>
  <c r="N239" i="8"/>
  <c r="K239" i="8"/>
  <c r="H239" i="8"/>
  <c r="E239" i="8"/>
  <c r="W238" i="8"/>
  <c r="T238" i="8"/>
  <c r="Q238" i="8"/>
  <c r="N238" i="8"/>
  <c r="K238" i="8"/>
  <c r="H238" i="8"/>
  <c r="E238" i="8"/>
  <c r="W237" i="8"/>
  <c r="T237" i="8"/>
  <c r="Q237" i="8"/>
  <c r="N237" i="8"/>
  <c r="K237" i="8"/>
  <c r="H237" i="8"/>
  <c r="E237" i="8"/>
  <c r="W236" i="8"/>
  <c r="T236" i="8"/>
  <c r="Q236" i="8"/>
  <c r="N236" i="8"/>
  <c r="K236" i="8"/>
  <c r="H236" i="8"/>
  <c r="E236" i="8"/>
  <c r="W235" i="8"/>
  <c r="T235" i="8"/>
  <c r="Q235" i="8"/>
  <c r="N235" i="8"/>
  <c r="K235" i="8"/>
  <c r="H235" i="8"/>
  <c r="E235" i="8"/>
  <c r="W234" i="8"/>
  <c r="T234" i="8"/>
  <c r="Q234" i="8"/>
  <c r="N234" i="8"/>
  <c r="K234" i="8"/>
  <c r="H234" i="8"/>
  <c r="E234" i="8"/>
  <c r="W233" i="8"/>
  <c r="T233" i="8"/>
  <c r="Q233" i="8"/>
  <c r="N233" i="8"/>
  <c r="K233" i="8"/>
  <c r="H233" i="8"/>
  <c r="E233" i="8"/>
  <c r="W232" i="8"/>
  <c r="T232" i="8"/>
  <c r="Q232" i="8"/>
  <c r="N232" i="8"/>
  <c r="K232" i="8"/>
  <c r="H232" i="8"/>
  <c r="E232" i="8"/>
  <c r="W228" i="8"/>
  <c r="T228" i="8"/>
  <c r="Q228" i="8"/>
  <c r="N228" i="8"/>
  <c r="K228" i="8"/>
  <c r="H228" i="8"/>
  <c r="E228" i="8"/>
  <c r="W227" i="8"/>
  <c r="T227" i="8"/>
  <c r="Q227" i="8"/>
  <c r="N227" i="8"/>
  <c r="K227" i="8"/>
  <c r="H227" i="8"/>
  <c r="E227" i="8"/>
  <c r="W226" i="8"/>
  <c r="T226" i="8"/>
  <c r="Q226" i="8"/>
  <c r="N226" i="8"/>
  <c r="K226" i="8"/>
  <c r="H226" i="8"/>
  <c r="E226" i="8"/>
  <c r="W225" i="8"/>
  <c r="T225" i="8"/>
  <c r="Q225" i="8"/>
  <c r="N225" i="8"/>
  <c r="K225" i="8"/>
  <c r="H225" i="8"/>
  <c r="E225" i="8"/>
  <c r="W224" i="8"/>
  <c r="T224" i="8"/>
  <c r="Q224" i="8"/>
  <c r="N224" i="8"/>
  <c r="K224" i="8"/>
  <c r="H224" i="8"/>
  <c r="E224" i="8"/>
  <c r="W223" i="8"/>
  <c r="T223" i="8"/>
  <c r="Q223" i="8"/>
  <c r="N223" i="8"/>
  <c r="K223" i="8"/>
  <c r="H223" i="8"/>
  <c r="E223" i="8"/>
  <c r="W222" i="8"/>
  <c r="T222" i="8"/>
  <c r="Q222" i="8"/>
  <c r="N222" i="8"/>
  <c r="K222" i="8"/>
  <c r="H222" i="8"/>
  <c r="E222" i="8"/>
  <c r="W263" i="8"/>
  <c r="W264" i="8"/>
  <c r="W265" i="8"/>
  <c r="T263" i="8"/>
  <c r="T264" i="8"/>
  <c r="T265" i="8"/>
  <c r="Q263" i="8"/>
  <c r="Q264" i="8"/>
  <c r="Q265" i="8"/>
  <c r="N263" i="8"/>
  <c r="AA263" i="8" s="1"/>
  <c r="N264" i="8"/>
  <c r="N265" i="8"/>
  <c r="K263" i="8"/>
  <c r="K264" i="8"/>
  <c r="K265" i="8"/>
  <c r="H263" i="8"/>
  <c r="H264" i="8"/>
  <c r="H265" i="8"/>
  <c r="E263" i="8"/>
  <c r="E264" i="8"/>
  <c r="E265" i="8"/>
  <c r="AA232" i="8" l="1"/>
  <c r="AA235" i="8"/>
  <c r="AA240" i="8"/>
  <c r="AA259" i="8"/>
  <c r="AA264" i="8"/>
  <c r="AA265" i="8"/>
  <c r="AA228" i="8"/>
  <c r="AA239" i="8"/>
  <c r="AA234" i="8"/>
  <c r="AA238" i="8"/>
  <c r="AA258" i="8"/>
  <c r="AA267" i="8"/>
  <c r="AA223" i="8"/>
  <c r="AA227" i="8"/>
  <c r="AA237" i="8"/>
  <c r="AA257" i="8"/>
  <c r="AA261" i="8"/>
  <c r="AA222" i="8"/>
  <c r="AA226" i="8"/>
  <c r="AA233" i="8"/>
  <c r="AA236" i="8"/>
  <c r="AA256" i="8"/>
  <c r="AA260" i="8"/>
  <c r="AA262" i="8"/>
  <c r="AA225" i="8"/>
  <c r="W221" i="8"/>
  <c r="W229" i="8"/>
  <c r="W230" i="8"/>
  <c r="W231" i="8"/>
  <c r="T221" i="8"/>
  <c r="T229" i="8"/>
  <c r="T230" i="8"/>
  <c r="T231" i="8"/>
  <c r="Q221" i="8"/>
  <c r="Q229" i="8"/>
  <c r="Q230" i="8"/>
  <c r="Q231" i="8"/>
  <c r="N221" i="8"/>
  <c r="AA221" i="8" s="1"/>
  <c r="N229" i="8"/>
  <c r="N230" i="8"/>
  <c r="N231" i="8"/>
  <c r="K221" i="8"/>
  <c r="K229" i="8"/>
  <c r="K230" i="8"/>
  <c r="K231" i="8"/>
  <c r="H221" i="8"/>
  <c r="H229" i="8"/>
  <c r="H230" i="8"/>
  <c r="H231" i="8"/>
  <c r="E221" i="8"/>
  <c r="E229" i="8"/>
  <c r="E230" i="8"/>
  <c r="E231" i="8"/>
  <c r="AA229" i="8" l="1"/>
  <c r="AA230" i="8"/>
  <c r="AA231" i="8"/>
  <c r="E204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5" i="8"/>
  <c r="AA151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N151" i="8"/>
  <c r="N152" i="8"/>
  <c r="N153" i="8"/>
  <c r="N154" i="8"/>
  <c r="N155" i="8"/>
  <c r="AA155" i="8" s="1"/>
  <c r="N156" i="8"/>
  <c r="N157" i="8"/>
  <c r="N158" i="8"/>
  <c r="N159" i="8"/>
  <c r="AA159" i="8" s="1"/>
  <c r="N160" i="8"/>
  <c r="N161" i="8"/>
  <c r="N162" i="8"/>
  <c r="N163" i="8"/>
  <c r="N164" i="8"/>
  <c r="N165" i="8"/>
  <c r="N166" i="8"/>
  <c r="N167" i="8"/>
  <c r="N168" i="8"/>
  <c r="N169" i="8"/>
  <c r="N17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E151" i="8"/>
  <c r="E152" i="8"/>
  <c r="E153" i="8"/>
  <c r="E154" i="8"/>
  <c r="E155" i="8"/>
  <c r="E156" i="8"/>
  <c r="E157" i="8"/>
  <c r="E158" i="8"/>
  <c r="E159" i="8"/>
  <c r="E160" i="8"/>
  <c r="AA160" i="8" s="1"/>
  <c r="E161" i="8"/>
  <c r="E162" i="8"/>
  <c r="E163" i="8"/>
  <c r="E164" i="8"/>
  <c r="E165" i="8"/>
  <c r="E166" i="8"/>
  <c r="E167" i="8"/>
  <c r="E168" i="8"/>
  <c r="E169" i="8"/>
  <c r="E170" i="8"/>
  <c r="AA168" i="8" l="1"/>
  <c r="AA152" i="8"/>
  <c r="AA205" i="8"/>
  <c r="AA201" i="8"/>
  <c r="AA197" i="8"/>
  <c r="AA193" i="8"/>
  <c r="AA189" i="8"/>
  <c r="AA204" i="8"/>
  <c r="AA200" i="8"/>
  <c r="AA196" i="8"/>
  <c r="AA192" i="8"/>
  <c r="AA188" i="8"/>
  <c r="AA170" i="8"/>
  <c r="AA158" i="8"/>
  <c r="AA154" i="8"/>
  <c r="AA203" i="8"/>
  <c r="AA199" i="8"/>
  <c r="AA195" i="8"/>
  <c r="AA191" i="8"/>
  <c r="AA187" i="8"/>
  <c r="AA156" i="8"/>
  <c r="AA169" i="8"/>
  <c r="AA161" i="8"/>
  <c r="AA157" i="8"/>
  <c r="AA153" i="8"/>
  <c r="AA202" i="8"/>
  <c r="AA198" i="8"/>
  <c r="AA194" i="8"/>
  <c r="AA190" i="8"/>
  <c r="AA186" i="8"/>
  <c r="AA165" i="8"/>
  <c r="AA167" i="8"/>
  <c r="AA166" i="8"/>
  <c r="AA163" i="8"/>
  <c r="AA164" i="8"/>
  <c r="AA162" i="8"/>
  <c r="W89" i="8"/>
  <c r="T89" i="8"/>
  <c r="Q89" i="8"/>
  <c r="N89" i="8"/>
  <c r="K89" i="8"/>
  <c r="H89" i="8"/>
  <c r="E89" i="8"/>
  <c r="W88" i="8"/>
  <c r="AA88" i="8" s="1"/>
  <c r="T88" i="8"/>
  <c r="Q88" i="8"/>
  <c r="N88" i="8"/>
  <c r="K88" i="8"/>
  <c r="H88" i="8"/>
  <c r="E88" i="8"/>
  <c r="W87" i="8"/>
  <c r="T87" i="8"/>
  <c r="Q87" i="8"/>
  <c r="N87" i="8"/>
  <c r="K87" i="8"/>
  <c r="H87" i="8"/>
  <c r="E87" i="8"/>
  <c r="W86" i="8"/>
  <c r="T86" i="8"/>
  <c r="Q86" i="8"/>
  <c r="N86" i="8"/>
  <c r="K86" i="8"/>
  <c r="H86" i="8"/>
  <c r="E86" i="8"/>
  <c r="W243" i="7"/>
  <c r="T243" i="7"/>
  <c r="Q243" i="7"/>
  <c r="N243" i="7"/>
  <c r="K243" i="7"/>
  <c r="H243" i="7"/>
  <c r="E243" i="7"/>
  <c r="W173" i="7"/>
  <c r="T173" i="7"/>
  <c r="Q173" i="7"/>
  <c r="N173" i="7"/>
  <c r="K173" i="7"/>
  <c r="H173" i="7"/>
  <c r="E173" i="7"/>
  <c r="W172" i="7"/>
  <c r="T172" i="7"/>
  <c r="Q172" i="7"/>
  <c r="N172" i="7"/>
  <c r="K172" i="7"/>
  <c r="H172" i="7"/>
  <c r="E172" i="7"/>
  <c r="W171" i="7"/>
  <c r="T171" i="7"/>
  <c r="Q171" i="7"/>
  <c r="N171" i="7"/>
  <c r="K171" i="7"/>
  <c r="H171" i="7"/>
  <c r="E171" i="7"/>
  <c r="W170" i="7"/>
  <c r="T170" i="7"/>
  <c r="Q170" i="7"/>
  <c r="N170" i="7"/>
  <c r="K170" i="7"/>
  <c r="H170" i="7"/>
  <c r="E170" i="7"/>
  <c r="W169" i="7"/>
  <c r="T169" i="7"/>
  <c r="Q169" i="7"/>
  <c r="N169" i="7"/>
  <c r="K169" i="7"/>
  <c r="H169" i="7"/>
  <c r="E169" i="7"/>
  <c r="W168" i="7"/>
  <c r="T168" i="7"/>
  <c r="Q168" i="7"/>
  <c r="N168" i="7"/>
  <c r="K168" i="7"/>
  <c r="H168" i="7"/>
  <c r="E168" i="7"/>
  <c r="W167" i="7"/>
  <c r="T167" i="7"/>
  <c r="Q167" i="7"/>
  <c r="N167" i="7"/>
  <c r="K167" i="7"/>
  <c r="H167" i="7"/>
  <c r="E167" i="7"/>
  <c r="W166" i="7"/>
  <c r="T166" i="7"/>
  <c r="Q166" i="7"/>
  <c r="N166" i="7"/>
  <c r="K166" i="7"/>
  <c r="H166" i="7"/>
  <c r="E166" i="7"/>
  <c r="W165" i="7"/>
  <c r="T165" i="7"/>
  <c r="Q165" i="7"/>
  <c r="N165" i="7"/>
  <c r="K165" i="7"/>
  <c r="H165" i="7"/>
  <c r="E165" i="7"/>
  <c r="W164" i="7"/>
  <c r="T164" i="7"/>
  <c r="Q164" i="7"/>
  <c r="N164" i="7"/>
  <c r="K164" i="7"/>
  <c r="H164" i="7"/>
  <c r="E164" i="7"/>
  <c r="W163" i="7"/>
  <c r="T163" i="7"/>
  <c r="Q163" i="7"/>
  <c r="N163" i="7"/>
  <c r="K163" i="7"/>
  <c r="H163" i="7"/>
  <c r="E163" i="7"/>
  <c r="W162" i="7"/>
  <c r="T162" i="7"/>
  <c r="Q162" i="7"/>
  <c r="N162" i="7"/>
  <c r="K162" i="7"/>
  <c r="H162" i="7"/>
  <c r="E162" i="7"/>
  <c r="W161" i="7"/>
  <c r="T161" i="7"/>
  <c r="Q161" i="7"/>
  <c r="N161" i="7"/>
  <c r="K161" i="7"/>
  <c r="H161" i="7"/>
  <c r="E161" i="7"/>
  <c r="W160" i="7"/>
  <c r="T160" i="7"/>
  <c r="Q160" i="7"/>
  <c r="N160" i="7"/>
  <c r="K160" i="7"/>
  <c r="H160" i="7"/>
  <c r="E160" i="7"/>
  <c r="W159" i="7"/>
  <c r="T159" i="7"/>
  <c r="Q159" i="7"/>
  <c r="N159" i="7"/>
  <c r="K159" i="7"/>
  <c r="H159" i="7"/>
  <c r="E159" i="7"/>
  <c r="W158" i="7"/>
  <c r="T158" i="7"/>
  <c r="Q158" i="7"/>
  <c r="N158" i="7"/>
  <c r="K158" i="7"/>
  <c r="H158" i="7"/>
  <c r="E158" i="7"/>
  <c r="W157" i="7"/>
  <c r="T157" i="7"/>
  <c r="Q157" i="7"/>
  <c r="N157" i="7"/>
  <c r="K157" i="7"/>
  <c r="H157" i="7"/>
  <c r="E157" i="7"/>
  <c r="W156" i="7"/>
  <c r="T156" i="7"/>
  <c r="N156" i="7"/>
  <c r="K156" i="7"/>
  <c r="H156" i="7"/>
  <c r="E156" i="7"/>
  <c r="W155" i="7"/>
  <c r="T155" i="7"/>
  <c r="Q155" i="7"/>
  <c r="N155" i="7"/>
  <c r="K155" i="7"/>
  <c r="H155" i="7"/>
  <c r="E155" i="7"/>
  <c r="W154" i="7"/>
  <c r="T154" i="7"/>
  <c r="Q154" i="7"/>
  <c r="N154" i="7"/>
  <c r="K154" i="7"/>
  <c r="H154" i="7"/>
  <c r="E154" i="7"/>
  <c r="W208" i="7"/>
  <c r="T208" i="7"/>
  <c r="Q208" i="7"/>
  <c r="N208" i="7"/>
  <c r="K208" i="7"/>
  <c r="H208" i="7"/>
  <c r="E208" i="7"/>
  <c r="W207" i="7"/>
  <c r="T207" i="7"/>
  <c r="Q207" i="7"/>
  <c r="N207" i="7"/>
  <c r="K207" i="7"/>
  <c r="H207" i="7"/>
  <c r="E207" i="7"/>
  <c r="W206" i="7"/>
  <c r="T206" i="7"/>
  <c r="Q206" i="7"/>
  <c r="N206" i="7"/>
  <c r="K206" i="7"/>
  <c r="H206" i="7"/>
  <c r="E206" i="7"/>
  <c r="W205" i="7"/>
  <c r="T205" i="7"/>
  <c r="Q205" i="7"/>
  <c r="N205" i="7"/>
  <c r="K205" i="7"/>
  <c r="H205" i="7"/>
  <c r="E205" i="7"/>
  <c r="W204" i="7"/>
  <c r="T204" i="7"/>
  <c r="Q204" i="7"/>
  <c r="N204" i="7"/>
  <c r="K204" i="7"/>
  <c r="H204" i="7"/>
  <c r="E204" i="7"/>
  <c r="W203" i="7"/>
  <c r="T203" i="7"/>
  <c r="Q203" i="7"/>
  <c r="N203" i="7"/>
  <c r="K203" i="7"/>
  <c r="H203" i="7"/>
  <c r="E203" i="7"/>
  <c r="W202" i="7"/>
  <c r="T202" i="7"/>
  <c r="Q202" i="7"/>
  <c r="N202" i="7"/>
  <c r="K202" i="7"/>
  <c r="H202" i="7"/>
  <c r="E202" i="7"/>
  <c r="W201" i="7"/>
  <c r="T201" i="7"/>
  <c r="Q201" i="7"/>
  <c r="N201" i="7"/>
  <c r="K201" i="7"/>
  <c r="H201" i="7"/>
  <c r="E201" i="7"/>
  <c r="W200" i="7"/>
  <c r="T200" i="7"/>
  <c r="Q200" i="7"/>
  <c r="N200" i="7"/>
  <c r="K200" i="7"/>
  <c r="H200" i="7"/>
  <c r="E200" i="7"/>
  <c r="W199" i="7"/>
  <c r="T199" i="7"/>
  <c r="Q199" i="7"/>
  <c r="N199" i="7"/>
  <c r="K199" i="7"/>
  <c r="H199" i="7"/>
  <c r="E199" i="7"/>
  <c r="W198" i="7"/>
  <c r="T198" i="7"/>
  <c r="Q198" i="7"/>
  <c r="N198" i="7"/>
  <c r="K198" i="7"/>
  <c r="H198" i="7"/>
  <c r="E198" i="7"/>
  <c r="W197" i="7"/>
  <c r="T197" i="7"/>
  <c r="Q197" i="7"/>
  <c r="N197" i="7"/>
  <c r="K197" i="7"/>
  <c r="H197" i="7"/>
  <c r="E197" i="7"/>
  <c r="W196" i="7"/>
  <c r="T196" i="7"/>
  <c r="Q196" i="7"/>
  <c r="N196" i="7"/>
  <c r="K196" i="7"/>
  <c r="H196" i="7"/>
  <c r="E196" i="7"/>
  <c r="W195" i="7"/>
  <c r="T195" i="7"/>
  <c r="Q195" i="7"/>
  <c r="N195" i="7"/>
  <c r="K195" i="7"/>
  <c r="H195" i="7"/>
  <c r="E195" i="7"/>
  <c r="W194" i="7"/>
  <c r="T194" i="7"/>
  <c r="Q194" i="7"/>
  <c r="N194" i="7"/>
  <c r="K194" i="7"/>
  <c r="H194" i="7"/>
  <c r="E194" i="7"/>
  <c r="W193" i="7"/>
  <c r="T193" i="7"/>
  <c r="Q193" i="7"/>
  <c r="N193" i="7"/>
  <c r="K193" i="7"/>
  <c r="H193" i="7"/>
  <c r="E193" i="7"/>
  <c r="T192" i="7"/>
  <c r="Q192" i="7"/>
  <c r="N192" i="7"/>
  <c r="K192" i="7"/>
  <c r="H192" i="7"/>
  <c r="E192" i="7"/>
  <c r="W191" i="7"/>
  <c r="T191" i="7"/>
  <c r="Q191" i="7"/>
  <c r="N191" i="7"/>
  <c r="K191" i="7"/>
  <c r="H191" i="7"/>
  <c r="E191" i="7"/>
  <c r="W190" i="7"/>
  <c r="T190" i="7"/>
  <c r="Q190" i="7"/>
  <c r="N190" i="7"/>
  <c r="K190" i="7"/>
  <c r="H190" i="7"/>
  <c r="E190" i="7"/>
  <c r="W189" i="7"/>
  <c r="T189" i="7"/>
  <c r="Q189" i="7"/>
  <c r="N189" i="7"/>
  <c r="K189" i="7"/>
  <c r="H189" i="7"/>
  <c r="E189" i="7"/>
  <c r="W242" i="7"/>
  <c r="T242" i="7"/>
  <c r="Q242" i="7"/>
  <c r="N242" i="7"/>
  <c r="K242" i="7"/>
  <c r="H242" i="7"/>
  <c r="E242" i="7"/>
  <c r="W241" i="7"/>
  <c r="T241" i="7"/>
  <c r="Q241" i="7"/>
  <c r="N241" i="7"/>
  <c r="K241" i="7"/>
  <c r="H241" i="7"/>
  <c r="E241" i="7"/>
  <c r="W240" i="7"/>
  <c r="T240" i="7"/>
  <c r="Q240" i="7"/>
  <c r="N240" i="7"/>
  <c r="K240" i="7"/>
  <c r="H240" i="7"/>
  <c r="E240" i="7"/>
  <c r="W239" i="7"/>
  <c r="T239" i="7"/>
  <c r="Q239" i="7"/>
  <c r="N239" i="7"/>
  <c r="K239" i="7"/>
  <c r="H239" i="7"/>
  <c r="E239" i="7"/>
  <c r="W238" i="7"/>
  <c r="T238" i="7"/>
  <c r="Q238" i="7"/>
  <c r="N238" i="7"/>
  <c r="K238" i="7"/>
  <c r="H238" i="7"/>
  <c r="E238" i="7"/>
  <c r="W237" i="7"/>
  <c r="T237" i="7"/>
  <c r="Q237" i="7"/>
  <c r="N237" i="7"/>
  <c r="K237" i="7"/>
  <c r="H237" i="7"/>
  <c r="E237" i="7"/>
  <c r="W236" i="7"/>
  <c r="T236" i="7"/>
  <c r="Q236" i="7"/>
  <c r="N236" i="7"/>
  <c r="K236" i="7"/>
  <c r="H236" i="7"/>
  <c r="E236" i="7"/>
  <c r="W235" i="7"/>
  <c r="T235" i="7"/>
  <c r="Q235" i="7"/>
  <c r="N235" i="7"/>
  <c r="K235" i="7"/>
  <c r="H235" i="7"/>
  <c r="E235" i="7"/>
  <c r="W234" i="7"/>
  <c r="T234" i="7"/>
  <c r="Q234" i="7"/>
  <c r="N234" i="7"/>
  <c r="K234" i="7"/>
  <c r="H234" i="7"/>
  <c r="E234" i="7"/>
  <c r="W233" i="7"/>
  <c r="T233" i="7"/>
  <c r="Q233" i="7"/>
  <c r="N233" i="7"/>
  <c r="K233" i="7"/>
  <c r="H233" i="7"/>
  <c r="E233" i="7"/>
  <c r="W232" i="7"/>
  <c r="T232" i="7"/>
  <c r="Q232" i="7"/>
  <c r="N232" i="7"/>
  <c r="K232" i="7"/>
  <c r="H232" i="7"/>
  <c r="E232" i="7"/>
  <c r="W231" i="7"/>
  <c r="T231" i="7"/>
  <c r="Q231" i="7"/>
  <c r="N231" i="7"/>
  <c r="K231" i="7"/>
  <c r="H231" i="7"/>
  <c r="E231" i="7"/>
  <c r="W230" i="7"/>
  <c r="T230" i="7"/>
  <c r="Q230" i="7"/>
  <c r="N230" i="7"/>
  <c r="K230" i="7"/>
  <c r="H230" i="7"/>
  <c r="E230" i="7"/>
  <c r="W229" i="7"/>
  <c r="T229" i="7"/>
  <c r="Q229" i="7"/>
  <c r="N229" i="7"/>
  <c r="K229" i="7"/>
  <c r="H229" i="7"/>
  <c r="E229" i="7"/>
  <c r="W228" i="7"/>
  <c r="T228" i="7"/>
  <c r="Q228" i="7"/>
  <c r="N228" i="7"/>
  <c r="K228" i="7"/>
  <c r="H228" i="7"/>
  <c r="E228" i="7"/>
  <c r="W227" i="7"/>
  <c r="T227" i="7"/>
  <c r="Q227" i="7"/>
  <c r="N227" i="7"/>
  <c r="K227" i="7"/>
  <c r="H227" i="7"/>
  <c r="E227" i="7"/>
  <c r="W226" i="7"/>
  <c r="T226" i="7"/>
  <c r="Q226" i="7"/>
  <c r="N226" i="7"/>
  <c r="K226" i="7"/>
  <c r="H226" i="7"/>
  <c r="E226" i="7"/>
  <c r="W225" i="7"/>
  <c r="T225" i="7"/>
  <c r="Q225" i="7"/>
  <c r="N225" i="7"/>
  <c r="K225" i="7"/>
  <c r="H225" i="7"/>
  <c r="E225" i="7"/>
  <c r="W224" i="7"/>
  <c r="T224" i="7"/>
  <c r="Q224" i="7"/>
  <c r="N224" i="7"/>
  <c r="K224" i="7"/>
  <c r="H224" i="7"/>
  <c r="E224" i="7"/>
  <c r="W262" i="7"/>
  <c r="T262" i="7"/>
  <c r="Q262" i="7"/>
  <c r="N262" i="7"/>
  <c r="K262" i="7"/>
  <c r="H262" i="7"/>
  <c r="E262" i="7"/>
  <c r="W261" i="7"/>
  <c r="T261" i="7"/>
  <c r="Q261" i="7"/>
  <c r="N261" i="7"/>
  <c r="K261" i="7"/>
  <c r="H261" i="7"/>
  <c r="E261" i="7"/>
  <c r="W260" i="7"/>
  <c r="T260" i="7"/>
  <c r="Q260" i="7"/>
  <c r="N260" i="7"/>
  <c r="K260" i="7"/>
  <c r="H260" i="7"/>
  <c r="E260" i="7"/>
  <c r="W259" i="7"/>
  <c r="T259" i="7"/>
  <c r="Q259" i="7"/>
  <c r="N259" i="7"/>
  <c r="K259" i="7"/>
  <c r="H259" i="7"/>
  <c r="E259" i="7"/>
  <c r="W130" i="6"/>
  <c r="Q130" i="6"/>
  <c r="K130" i="6"/>
  <c r="H130" i="6"/>
  <c r="E130" i="6"/>
  <c r="W129" i="6"/>
  <c r="Q129" i="6"/>
  <c r="K129" i="6"/>
  <c r="H129" i="6"/>
  <c r="E129" i="6"/>
  <c r="W128" i="6"/>
  <c r="Q128" i="6"/>
  <c r="K128" i="6"/>
  <c r="H128" i="6"/>
  <c r="E128" i="6"/>
  <c r="W126" i="6"/>
  <c r="Q126" i="6"/>
  <c r="K126" i="6"/>
  <c r="H126" i="6"/>
  <c r="E126" i="6"/>
  <c r="W125" i="6"/>
  <c r="Q125" i="6"/>
  <c r="K125" i="6"/>
  <c r="H125" i="6"/>
  <c r="E125" i="6"/>
  <c r="W124" i="6"/>
  <c r="Q124" i="6"/>
  <c r="K124" i="6"/>
  <c r="H124" i="6"/>
  <c r="E124" i="6"/>
  <c r="W122" i="6"/>
  <c r="Q122" i="6"/>
  <c r="K122" i="6"/>
  <c r="H122" i="6"/>
  <c r="E122" i="6"/>
  <c r="W127" i="6"/>
  <c r="Q127" i="6"/>
  <c r="K127" i="6"/>
  <c r="H127" i="6"/>
  <c r="E127" i="6"/>
  <c r="W121" i="6"/>
  <c r="Q121" i="6"/>
  <c r="K121" i="6"/>
  <c r="H121" i="6"/>
  <c r="E121" i="6"/>
  <c r="W99" i="6"/>
  <c r="Q99" i="6"/>
  <c r="K99" i="6"/>
  <c r="H99" i="6"/>
  <c r="E99" i="6"/>
  <c r="W98" i="6"/>
  <c r="Q98" i="6"/>
  <c r="K98" i="6"/>
  <c r="H98" i="6"/>
  <c r="E98" i="6"/>
  <c r="W93" i="6"/>
  <c r="Q93" i="6"/>
  <c r="K93" i="6"/>
  <c r="H93" i="6"/>
  <c r="E93" i="6"/>
  <c r="W96" i="6"/>
  <c r="Q96" i="6"/>
  <c r="K96" i="6"/>
  <c r="H96" i="6"/>
  <c r="E96" i="6"/>
  <c r="W97" i="6"/>
  <c r="Q97" i="6"/>
  <c r="K97" i="6"/>
  <c r="H97" i="6"/>
  <c r="E97" i="6"/>
  <c r="W95" i="6"/>
  <c r="Q95" i="6"/>
  <c r="K95" i="6"/>
  <c r="H95" i="6"/>
  <c r="E95" i="6"/>
  <c r="W94" i="6"/>
  <c r="Q94" i="6"/>
  <c r="K94" i="6"/>
  <c r="H94" i="6"/>
  <c r="E94" i="6"/>
  <c r="W92" i="6"/>
  <c r="Q92" i="6"/>
  <c r="K92" i="6"/>
  <c r="H92" i="6"/>
  <c r="E92" i="6"/>
  <c r="W91" i="6"/>
  <c r="Q91" i="6"/>
  <c r="K91" i="6"/>
  <c r="H91" i="6"/>
  <c r="E91" i="6"/>
  <c r="W90" i="6"/>
  <c r="Q90" i="6"/>
  <c r="K90" i="6"/>
  <c r="H90" i="6"/>
  <c r="E90" i="6"/>
  <c r="W89" i="6"/>
  <c r="Q89" i="6"/>
  <c r="K89" i="6"/>
  <c r="H89" i="6"/>
  <c r="E89" i="6"/>
  <c r="W88" i="6"/>
  <c r="Q88" i="6"/>
  <c r="K88" i="6"/>
  <c r="H88" i="6"/>
  <c r="E88" i="6"/>
  <c r="W87" i="6"/>
  <c r="Q87" i="6"/>
  <c r="K87" i="6"/>
  <c r="H87" i="6"/>
  <c r="E87" i="6"/>
  <c r="W86" i="6"/>
  <c r="Q86" i="6"/>
  <c r="K86" i="6"/>
  <c r="H86" i="6"/>
  <c r="E86" i="6"/>
  <c r="W85" i="6"/>
  <c r="Q85" i="6"/>
  <c r="K85" i="6"/>
  <c r="H85" i="6"/>
  <c r="E85" i="6"/>
  <c r="W84" i="6"/>
  <c r="Q84" i="6"/>
  <c r="K84" i="6"/>
  <c r="H84" i="6"/>
  <c r="E84" i="6"/>
  <c r="W83" i="6"/>
  <c r="Q83" i="6"/>
  <c r="K83" i="6"/>
  <c r="H83" i="6"/>
  <c r="E83" i="6"/>
  <c r="W82" i="6"/>
  <c r="Q82" i="6"/>
  <c r="K82" i="6"/>
  <c r="H82" i="6"/>
  <c r="E82" i="6"/>
  <c r="W81" i="6"/>
  <c r="Q81" i="6"/>
  <c r="K81" i="6"/>
  <c r="H81" i="6"/>
  <c r="E81" i="6"/>
  <c r="W123" i="6"/>
  <c r="Q123" i="6"/>
  <c r="K123" i="6"/>
  <c r="H123" i="6"/>
  <c r="E123" i="6"/>
  <c r="W120" i="6"/>
  <c r="Q120" i="6"/>
  <c r="K120" i="6"/>
  <c r="H120" i="6"/>
  <c r="E120" i="6"/>
  <c r="W148" i="4"/>
  <c r="AA148" i="4" s="1"/>
  <c r="W149" i="4"/>
  <c r="AA149" i="4" s="1"/>
  <c r="W150" i="4"/>
  <c r="AA150" i="4" s="1"/>
  <c r="W151" i="4"/>
  <c r="AA151" i="4" s="1"/>
  <c r="W152" i="4"/>
  <c r="AA152" i="4" s="1"/>
  <c r="W153" i="4"/>
  <c r="AA153" i="4" s="1"/>
  <c r="W154" i="4"/>
  <c r="AA154" i="4" s="1"/>
  <c r="W155" i="4"/>
  <c r="AA155" i="4" s="1"/>
  <c r="W156" i="4"/>
  <c r="AA156" i="4" s="1"/>
  <c r="W157" i="4"/>
  <c r="AA157" i="4" s="1"/>
  <c r="W158" i="4"/>
  <c r="AA158" i="4" s="1"/>
  <c r="W159" i="4"/>
  <c r="AA159" i="4" s="1"/>
  <c r="W160" i="4"/>
  <c r="AA160" i="4" s="1"/>
  <c r="W161" i="4"/>
  <c r="AA161" i="4" s="1"/>
  <c r="W162" i="4"/>
  <c r="AA162" i="4" s="1"/>
  <c r="W163" i="4"/>
  <c r="AA163" i="4" s="1"/>
  <c r="W164" i="4"/>
  <c r="W165" i="4"/>
  <c r="AA165" i="4" s="1"/>
  <c r="W166" i="4"/>
  <c r="AA166" i="4" s="1"/>
  <c r="W167" i="4"/>
  <c r="AA167" i="4" s="1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AA164" i="4" s="1"/>
  <c r="Q165" i="4"/>
  <c r="Q166" i="4"/>
  <c r="Q16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W183" i="4"/>
  <c r="AA183" i="4" s="1"/>
  <c r="W184" i="4"/>
  <c r="AA184" i="4" s="1"/>
  <c r="W185" i="4"/>
  <c r="AA185" i="4" s="1"/>
  <c r="W186" i="4"/>
  <c r="AA186" i="4" s="1"/>
  <c r="W187" i="4"/>
  <c r="AA187" i="4" s="1"/>
  <c r="W188" i="4"/>
  <c r="AA188" i="4" s="1"/>
  <c r="W189" i="4"/>
  <c r="AA189" i="4" s="1"/>
  <c r="W190" i="4"/>
  <c r="AA190" i="4" s="1"/>
  <c r="W191" i="4"/>
  <c r="AA191" i="4" s="1"/>
  <c r="W192" i="4"/>
  <c r="AA192" i="4" s="1"/>
  <c r="W193" i="4"/>
  <c r="AA193" i="4" s="1"/>
  <c r="W194" i="4"/>
  <c r="AA194" i="4" s="1"/>
  <c r="W195" i="4"/>
  <c r="AA195" i="4" s="1"/>
  <c r="W196" i="4"/>
  <c r="AA196" i="4" s="1"/>
  <c r="W197" i="4"/>
  <c r="AA197" i="4" s="1"/>
  <c r="W198" i="4"/>
  <c r="AA198" i="4" s="1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E183" i="4"/>
  <c r="E184" i="4"/>
  <c r="E185" i="4"/>
  <c r="E186" i="4"/>
  <c r="E189" i="4"/>
  <c r="E190" i="4"/>
  <c r="E191" i="4"/>
  <c r="E192" i="4"/>
  <c r="E193" i="4"/>
  <c r="E194" i="4"/>
  <c r="E195" i="4"/>
  <c r="E196" i="4"/>
  <c r="E197" i="4"/>
  <c r="E198" i="4"/>
  <c r="AA86" i="8" l="1"/>
  <c r="AA87" i="8"/>
  <c r="AA89" i="8"/>
  <c r="AA81" i="6"/>
  <c r="AA89" i="6"/>
  <c r="AA93" i="6"/>
  <c r="AA127" i="6"/>
  <c r="AA126" i="6"/>
  <c r="AA92" i="6"/>
  <c r="AA97" i="6"/>
  <c r="AA243" i="7"/>
  <c r="AA260" i="7"/>
  <c r="AA262" i="7"/>
  <c r="AA224" i="7"/>
  <c r="AA226" i="7"/>
  <c r="AA228" i="7"/>
  <c r="AA230" i="7"/>
  <c r="AA232" i="7"/>
  <c r="AA234" i="7"/>
  <c r="AA236" i="7"/>
  <c r="AA238" i="7"/>
  <c r="AA239" i="7"/>
  <c r="AA241" i="7"/>
  <c r="AA190" i="7"/>
  <c r="AA192" i="7"/>
  <c r="AA194" i="7"/>
  <c r="AA196" i="7"/>
  <c r="AA198" i="7"/>
  <c r="AA200" i="7"/>
  <c r="AA202" i="7"/>
  <c r="AA204" i="7"/>
  <c r="AA207" i="7"/>
  <c r="AA155" i="7"/>
  <c r="AA157" i="7"/>
  <c r="AA159" i="7"/>
  <c r="AA161" i="7"/>
  <c r="AA163" i="7"/>
  <c r="AA165" i="7"/>
  <c r="AA167" i="7"/>
  <c r="AA169" i="7"/>
  <c r="AA171" i="7"/>
  <c r="AA259" i="7"/>
  <c r="AA261" i="7"/>
  <c r="AA225" i="7"/>
  <c r="AA227" i="7"/>
  <c r="AA231" i="7"/>
  <c r="AA233" i="7"/>
  <c r="AA235" i="7"/>
  <c r="AA237" i="7"/>
  <c r="AA240" i="7"/>
  <c r="AA242" i="7"/>
  <c r="AA189" i="7"/>
  <c r="AA191" i="7"/>
  <c r="AA193" i="7"/>
  <c r="AA195" i="7"/>
  <c r="AA197" i="7"/>
  <c r="AA199" i="7"/>
  <c r="AA201" i="7"/>
  <c r="AA203" i="7"/>
  <c r="AA205" i="7"/>
  <c r="AA206" i="7"/>
  <c r="AA208" i="7"/>
  <c r="AA154" i="7"/>
  <c r="AA156" i="7"/>
  <c r="AA158" i="7"/>
  <c r="AA160" i="7"/>
  <c r="AA162" i="7"/>
  <c r="AA166" i="7"/>
  <c r="AA168" i="7"/>
  <c r="AA170" i="7"/>
  <c r="AA172" i="7"/>
  <c r="AA173" i="7"/>
  <c r="AA83" i="6"/>
  <c r="AA85" i="6"/>
  <c r="AA120" i="6"/>
  <c r="AA84" i="6"/>
  <c r="AA87" i="6"/>
  <c r="AA91" i="6"/>
  <c r="AA94" i="6"/>
  <c r="AA99" i="6"/>
  <c r="AA124" i="6"/>
  <c r="AA129" i="6"/>
  <c r="AA123" i="6"/>
  <c r="AA82" i="6"/>
  <c r="AA86" i="6"/>
  <c r="AA88" i="6"/>
  <c r="AA90" i="6"/>
  <c r="AA95" i="6"/>
  <c r="AA96" i="6"/>
  <c r="AA98" i="6"/>
  <c r="AA121" i="6"/>
  <c r="AA122" i="6"/>
  <c r="AA125" i="6"/>
  <c r="AA128" i="6"/>
  <c r="AA130" i="6"/>
  <c r="W114" i="4"/>
  <c r="AA114" i="4" s="1"/>
  <c r="W115" i="4"/>
  <c r="AA115" i="4" s="1"/>
  <c r="W116" i="4"/>
  <c r="W117" i="4"/>
  <c r="W118" i="4"/>
  <c r="AA118" i="4" s="1"/>
  <c r="W119" i="4"/>
  <c r="W120" i="4"/>
  <c r="W121" i="4"/>
  <c r="W122" i="4"/>
  <c r="AA122" i="4" s="1"/>
  <c r="W123" i="4"/>
  <c r="W124" i="4"/>
  <c r="W126" i="4"/>
  <c r="AA126" i="4" s="1"/>
  <c r="W127" i="4"/>
  <c r="W128" i="4"/>
  <c r="W129" i="4"/>
  <c r="W130" i="4"/>
  <c r="AA130" i="4" s="1"/>
  <c r="W131" i="4"/>
  <c r="W132" i="4"/>
  <c r="Q114" i="4"/>
  <c r="Q115" i="4"/>
  <c r="Q116" i="4"/>
  <c r="Q117" i="4"/>
  <c r="Q118" i="4"/>
  <c r="Q119" i="4"/>
  <c r="Q120" i="4"/>
  <c r="Q121" i="4"/>
  <c r="Q122" i="4"/>
  <c r="Q123" i="4"/>
  <c r="AA123" i="4" s="1"/>
  <c r="Q124" i="4"/>
  <c r="Q125" i="4"/>
  <c r="Q126" i="4"/>
  <c r="Q127" i="4"/>
  <c r="AA127" i="4" s="1"/>
  <c r="Q128" i="4"/>
  <c r="Q129" i="4"/>
  <c r="Q130" i="4"/>
  <c r="Q131" i="4"/>
  <c r="AA131" i="4" s="1"/>
  <c r="Q132" i="4"/>
  <c r="K114" i="4"/>
  <c r="K115" i="4"/>
  <c r="K116" i="4"/>
  <c r="AA116" i="4" s="1"/>
  <c r="K117" i="4"/>
  <c r="K118" i="4"/>
  <c r="K119" i="4"/>
  <c r="K120" i="4"/>
  <c r="AA120" i="4" s="1"/>
  <c r="K121" i="4"/>
  <c r="K122" i="4"/>
  <c r="K123" i="4"/>
  <c r="K124" i="4"/>
  <c r="AA124" i="4" s="1"/>
  <c r="K125" i="4"/>
  <c r="K126" i="4"/>
  <c r="K127" i="4"/>
  <c r="K128" i="4"/>
  <c r="AA128" i="4" s="1"/>
  <c r="K129" i="4"/>
  <c r="K130" i="4"/>
  <c r="K131" i="4"/>
  <c r="K132" i="4"/>
  <c r="AA132" i="4" s="1"/>
  <c r="H114" i="4"/>
  <c r="H115" i="4"/>
  <c r="H116" i="4"/>
  <c r="H117" i="4"/>
  <c r="AA117" i="4" s="1"/>
  <c r="H118" i="4"/>
  <c r="H119" i="4"/>
  <c r="H120" i="4"/>
  <c r="H121" i="4"/>
  <c r="AA121" i="4" s="1"/>
  <c r="H122" i="4"/>
  <c r="H123" i="4"/>
  <c r="H124" i="4"/>
  <c r="H125" i="4"/>
  <c r="AA125" i="4" s="1"/>
  <c r="H126" i="4"/>
  <c r="H127" i="4"/>
  <c r="H128" i="4"/>
  <c r="H129" i="4"/>
  <c r="AA129" i="4" s="1"/>
  <c r="H130" i="4"/>
  <c r="H131" i="4"/>
  <c r="H132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Q113" i="4"/>
  <c r="K113" i="4"/>
  <c r="H113" i="4"/>
  <c r="E113" i="4"/>
  <c r="AA83" i="4"/>
  <c r="W80" i="4"/>
  <c r="AA80" i="4" s="1"/>
  <c r="W81" i="4"/>
  <c r="AA81" i="4" s="1"/>
  <c r="W82" i="4"/>
  <c r="AA82" i="4" s="1"/>
  <c r="W83" i="4"/>
  <c r="W84" i="4"/>
  <c r="W85" i="4"/>
  <c r="AA85" i="4" s="1"/>
  <c r="Q80" i="4"/>
  <c r="Q81" i="4"/>
  <c r="Q82" i="4"/>
  <c r="Q83" i="4"/>
  <c r="Q84" i="4"/>
  <c r="Q85" i="4"/>
  <c r="K80" i="4"/>
  <c r="K81" i="4"/>
  <c r="K82" i="4"/>
  <c r="K83" i="4"/>
  <c r="K84" i="4"/>
  <c r="K85" i="4"/>
  <c r="H80" i="4"/>
  <c r="H81" i="4"/>
  <c r="H82" i="4"/>
  <c r="H83" i="4"/>
  <c r="H84" i="4"/>
  <c r="H85" i="4"/>
  <c r="E80" i="4"/>
  <c r="E81" i="4"/>
  <c r="E82" i="4"/>
  <c r="E83" i="4"/>
  <c r="E84" i="4"/>
  <c r="E85" i="4"/>
  <c r="W79" i="4"/>
  <c r="AA79" i="4" s="1"/>
  <c r="Q79" i="4"/>
  <c r="K79" i="4"/>
  <c r="H79" i="4"/>
  <c r="E79" i="4"/>
  <c r="W44" i="4"/>
  <c r="AA44" i="4" s="1"/>
  <c r="W45" i="4"/>
  <c r="AA45" i="4" s="1"/>
  <c r="W46" i="4"/>
  <c r="AA46" i="4" s="1"/>
  <c r="W47" i="4"/>
  <c r="AA47" i="4" s="1"/>
  <c r="W48" i="4"/>
  <c r="AA48" i="4" s="1"/>
  <c r="W49" i="4"/>
  <c r="AA49" i="4" s="1"/>
  <c r="W50" i="4"/>
  <c r="AA50" i="4" s="1"/>
  <c r="W51" i="4"/>
  <c r="AA51" i="4" s="1"/>
  <c r="W52" i="4"/>
  <c r="AA52" i="4" s="1"/>
  <c r="W53" i="4"/>
  <c r="AA53" i="4" s="1"/>
  <c r="W54" i="4"/>
  <c r="AA54" i="4" s="1"/>
  <c r="W55" i="4"/>
  <c r="AA55" i="4" s="1"/>
  <c r="W56" i="4"/>
  <c r="AA56" i="4" s="1"/>
  <c r="W57" i="4"/>
  <c r="AA57" i="4" s="1"/>
  <c r="W58" i="4"/>
  <c r="AA58" i="4" s="1"/>
  <c r="W59" i="4"/>
  <c r="AA59" i="4" s="1"/>
  <c r="W60" i="4"/>
  <c r="AA60" i="4" s="1"/>
  <c r="W61" i="4"/>
  <c r="AA61" i="4" s="1"/>
  <c r="W62" i="4"/>
  <c r="AA62" i="4" s="1"/>
  <c r="W63" i="4"/>
  <c r="AA63" i="4" s="1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AA119" i="4" l="1"/>
  <c r="AA113" i="4"/>
  <c r="AA84" i="4"/>
  <c r="W80" i="6"/>
  <c r="Q80" i="6"/>
  <c r="K80" i="6"/>
  <c r="H80" i="6"/>
  <c r="E80" i="6"/>
  <c r="W64" i="6"/>
  <c r="Q64" i="6"/>
  <c r="K64" i="6"/>
  <c r="H64" i="6"/>
  <c r="E64" i="6"/>
  <c r="W63" i="6"/>
  <c r="Q63" i="6"/>
  <c r="K63" i="6"/>
  <c r="H63" i="6"/>
  <c r="E63" i="6"/>
  <c r="W62" i="6"/>
  <c r="Q62" i="6"/>
  <c r="K62" i="6"/>
  <c r="H62" i="6"/>
  <c r="E62" i="6"/>
  <c r="W61" i="6"/>
  <c r="Q61" i="6"/>
  <c r="K61" i="6"/>
  <c r="H61" i="6"/>
  <c r="E61" i="6"/>
  <c r="W60" i="6"/>
  <c r="Q60" i="6"/>
  <c r="K60" i="6"/>
  <c r="H60" i="6"/>
  <c r="E60" i="6"/>
  <c r="W59" i="6"/>
  <c r="Q59" i="6"/>
  <c r="K59" i="6"/>
  <c r="H59" i="6"/>
  <c r="E59" i="6"/>
  <c r="W56" i="6"/>
  <c r="Q56" i="6"/>
  <c r="W57" i="6"/>
  <c r="W58" i="6"/>
  <c r="Q57" i="6"/>
  <c r="Q58" i="6"/>
  <c r="K56" i="6"/>
  <c r="K57" i="6"/>
  <c r="K58" i="6"/>
  <c r="H56" i="6"/>
  <c r="H57" i="6"/>
  <c r="H58" i="6"/>
  <c r="E56" i="6"/>
  <c r="E57" i="6"/>
  <c r="E58" i="6"/>
  <c r="W55" i="6"/>
  <c r="Q55" i="6"/>
  <c r="K55" i="6"/>
  <c r="H55" i="6"/>
  <c r="E55" i="6"/>
  <c r="W54" i="6"/>
  <c r="Q54" i="6"/>
  <c r="K54" i="6"/>
  <c r="H54" i="6"/>
  <c r="H47" i="6"/>
  <c r="E54" i="6"/>
  <c r="W53" i="6"/>
  <c r="Q53" i="6"/>
  <c r="K53" i="6"/>
  <c r="H53" i="6"/>
  <c r="E53" i="6"/>
  <c r="W52" i="6"/>
  <c r="Q52" i="6"/>
  <c r="K52" i="6"/>
  <c r="H52" i="6"/>
  <c r="E52" i="6"/>
  <c r="W51" i="6"/>
  <c r="Q51" i="6"/>
  <c r="K51" i="6"/>
  <c r="H51" i="6"/>
  <c r="E51" i="6"/>
  <c r="W50" i="6"/>
  <c r="Q50" i="6"/>
  <c r="K50" i="6"/>
  <c r="H50" i="6"/>
  <c r="E50" i="6"/>
  <c r="W49" i="6"/>
  <c r="Q49" i="6"/>
  <c r="K49" i="6"/>
  <c r="H49" i="6"/>
  <c r="E4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10" i="6"/>
  <c r="E11" i="6"/>
  <c r="W28" i="6"/>
  <c r="Q28" i="6"/>
  <c r="K28" i="6"/>
  <c r="H28" i="6"/>
  <c r="E28" i="6"/>
  <c r="W45" i="6"/>
  <c r="Q45" i="6"/>
  <c r="K45" i="6"/>
  <c r="H45" i="6"/>
  <c r="E45" i="6"/>
  <c r="W48" i="6"/>
  <c r="Q48" i="6"/>
  <c r="K48" i="6"/>
  <c r="H48" i="6"/>
  <c r="E48" i="6"/>
  <c r="W47" i="6"/>
  <c r="Q47" i="6"/>
  <c r="K47" i="6"/>
  <c r="E47" i="6"/>
  <c r="W46" i="6"/>
  <c r="Q46" i="6"/>
  <c r="K46" i="6"/>
  <c r="H46" i="6"/>
  <c r="E46" i="6"/>
  <c r="AA45" i="6" l="1"/>
  <c r="AA27" i="6"/>
  <c r="AA25" i="6"/>
  <c r="AA23" i="6"/>
  <c r="AA21" i="6"/>
  <c r="AA19" i="6"/>
  <c r="AA17" i="6"/>
  <c r="AA15" i="6"/>
  <c r="AA13" i="6"/>
  <c r="AA11" i="6"/>
  <c r="AA49" i="6"/>
  <c r="AA51" i="6"/>
  <c r="AA53" i="6"/>
  <c r="AA54" i="6"/>
  <c r="AA56" i="6"/>
  <c r="AA60" i="6"/>
  <c r="AA62" i="6"/>
  <c r="AA64" i="6"/>
  <c r="AA48" i="6"/>
  <c r="AA28" i="6"/>
  <c r="AA26" i="6"/>
  <c r="AA24" i="6"/>
  <c r="AA22" i="6"/>
  <c r="AA20" i="6"/>
  <c r="AA18" i="6"/>
  <c r="AA16" i="6"/>
  <c r="AA14" i="6"/>
  <c r="AA12" i="6"/>
  <c r="AA10" i="6"/>
  <c r="AA50" i="6"/>
  <c r="AA52" i="6"/>
  <c r="AA55" i="6"/>
  <c r="AA57" i="6"/>
  <c r="AA58" i="6"/>
  <c r="AA59" i="6"/>
  <c r="AA61" i="6"/>
  <c r="AA80" i="6"/>
  <c r="AA46" i="6"/>
  <c r="AA47" i="6"/>
  <c r="AA63" i="6"/>
  <c r="W120" i="8"/>
  <c r="T120" i="8"/>
  <c r="Q120" i="8"/>
  <c r="N120" i="8"/>
  <c r="K120" i="8"/>
  <c r="H120" i="8"/>
  <c r="E120" i="8"/>
  <c r="W119" i="8"/>
  <c r="T119" i="8"/>
  <c r="Q119" i="8"/>
  <c r="N119" i="8"/>
  <c r="K119" i="8"/>
  <c r="H119" i="8"/>
  <c r="E119" i="8"/>
  <c r="W118" i="8"/>
  <c r="T118" i="8"/>
  <c r="Q118" i="8"/>
  <c r="N118" i="8"/>
  <c r="K118" i="8"/>
  <c r="H118" i="8"/>
  <c r="E118" i="8"/>
  <c r="W117" i="8"/>
  <c r="T117" i="8"/>
  <c r="Q117" i="8"/>
  <c r="N117" i="8"/>
  <c r="K117" i="8"/>
  <c r="H117" i="8"/>
  <c r="E117" i="8"/>
  <c r="W116" i="8"/>
  <c r="T116" i="8"/>
  <c r="Q116" i="8"/>
  <c r="N116" i="8"/>
  <c r="K116" i="8"/>
  <c r="H116" i="8"/>
  <c r="E116" i="8"/>
  <c r="W85" i="8"/>
  <c r="T85" i="8"/>
  <c r="Q85" i="8"/>
  <c r="N85" i="8"/>
  <c r="K85" i="8"/>
  <c r="H85" i="8"/>
  <c r="E85" i="8"/>
  <c r="W84" i="8"/>
  <c r="T84" i="8"/>
  <c r="Q84" i="8"/>
  <c r="N84" i="8"/>
  <c r="K84" i="8"/>
  <c r="H84" i="8"/>
  <c r="E84" i="8"/>
  <c r="W83" i="8"/>
  <c r="T83" i="8"/>
  <c r="Q83" i="8"/>
  <c r="N83" i="8"/>
  <c r="K83" i="8"/>
  <c r="H83" i="8"/>
  <c r="E83" i="8"/>
  <c r="W82" i="8"/>
  <c r="T82" i="8"/>
  <c r="Q82" i="8"/>
  <c r="N82" i="8"/>
  <c r="K82" i="8"/>
  <c r="H82" i="8"/>
  <c r="E82" i="8"/>
  <c r="W81" i="8"/>
  <c r="T81" i="8"/>
  <c r="Q81" i="8"/>
  <c r="N81" i="8"/>
  <c r="K81" i="8"/>
  <c r="H81" i="8"/>
  <c r="E81" i="8"/>
  <c r="W65" i="8"/>
  <c r="T65" i="8"/>
  <c r="Q65" i="8"/>
  <c r="N65" i="8"/>
  <c r="K65" i="8"/>
  <c r="H65" i="8"/>
  <c r="E65" i="8"/>
  <c r="W64" i="8"/>
  <c r="T64" i="8"/>
  <c r="Q64" i="8"/>
  <c r="N64" i="8"/>
  <c r="K64" i="8"/>
  <c r="H64" i="8"/>
  <c r="E64" i="8"/>
  <c r="W63" i="8"/>
  <c r="T63" i="8"/>
  <c r="Q63" i="8"/>
  <c r="N63" i="8"/>
  <c r="K63" i="8"/>
  <c r="H63" i="8"/>
  <c r="E63" i="8"/>
  <c r="W62" i="8"/>
  <c r="T62" i="8"/>
  <c r="Q62" i="8"/>
  <c r="N62" i="8"/>
  <c r="K62" i="8"/>
  <c r="H62" i="8"/>
  <c r="E62" i="8"/>
  <c r="W61" i="8"/>
  <c r="T61" i="8"/>
  <c r="Q61" i="8"/>
  <c r="N61" i="8"/>
  <c r="K61" i="8"/>
  <c r="H61" i="8"/>
  <c r="E61" i="8"/>
  <c r="W60" i="8"/>
  <c r="T60" i="8"/>
  <c r="Q60" i="8"/>
  <c r="N60" i="8"/>
  <c r="K60" i="8"/>
  <c r="H60" i="8"/>
  <c r="E60" i="8"/>
  <c r="W59" i="8"/>
  <c r="T59" i="8"/>
  <c r="Q59" i="8"/>
  <c r="N59" i="8"/>
  <c r="K59" i="8"/>
  <c r="H59" i="8"/>
  <c r="E59" i="8"/>
  <c r="W58" i="8"/>
  <c r="T58" i="8"/>
  <c r="Q58" i="8"/>
  <c r="N58" i="8"/>
  <c r="K58" i="8"/>
  <c r="H58" i="8"/>
  <c r="E58" i="8"/>
  <c r="W57" i="8"/>
  <c r="T57" i="8"/>
  <c r="Q57" i="8"/>
  <c r="N57" i="8"/>
  <c r="K57" i="8"/>
  <c r="H57" i="8"/>
  <c r="E57" i="8"/>
  <c r="W56" i="8"/>
  <c r="T56" i="8"/>
  <c r="Q56" i="8"/>
  <c r="N56" i="8"/>
  <c r="K56" i="8"/>
  <c r="H56" i="8"/>
  <c r="E56" i="8"/>
  <c r="W55" i="8"/>
  <c r="T55" i="8"/>
  <c r="Q55" i="8"/>
  <c r="N55" i="8"/>
  <c r="K55" i="8"/>
  <c r="H55" i="8"/>
  <c r="E55" i="8"/>
  <c r="W54" i="8"/>
  <c r="T54" i="8"/>
  <c r="Q54" i="8"/>
  <c r="N54" i="8"/>
  <c r="K54" i="8"/>
  <c r="H54" i="8"/>
  <c r="E54" i="8"/>
  <c r="W53" i="8"/>
  <c r="T53" i="8"/>
  <c r="Q53" i="8"/>
  <c r="N53" i="8"/>
  <c r="K53" i="8"/>
  <c r="H53" i="8"/>
  <c r="E53" i="8"/>
  <c r="W52" i="8"/>
  <c r="T52" i="8"/>
  <c r="Q52" i="8"/>
  <c r="N52" i="8"/>
  <c r="K52" i="8"/>
  <c r="H52" i="8"/>
  <c r="E52" i="8"/>
  <c r="W51" i="8"/>
  <c r="T51" i="8"/>
  <c r="Q51" i="8"/>
  <c r="N51" i="8"/>
  <c r="K51" i="8"/>
  <c r="H51" i="8"/>
  <c r="E51" i="8"/>
  <c r="W50" i="8"/>
  <c r="T50" i="8"/>
  <c r="Q50" i="8"/>
  <c r="N50" i="8"/>
  <c r="K50" i="8"/>
  <c r="H50" i="8"/>
  <c r="E50" i="8"/>
  <c r="W49" i="8"/>
  <c r="T49" i="8"/>
  <c r="Q49" i="8"/>
  <c r="N49" i="8"/>
  <c r="K49" i="8"/>
  <c r="H49" i="8"/>
  <c r="E49" i="8"/>
  <c r="W48" i="8"/>
  <c r="T48" i="8"/>
  <c r="Q48" i="8"/>
  <c r="N48" i="8"/>
  <c r="K48" i="8"/>
  <c r="H48" i="8"/>
  <c r="E48" i="8"/>
  <c r="W47" i="8"/>
  <c r="T47" i="8"/>
  <c r="Q47" i="8"/>
  <c r="N47" i="8"/>
  <c r="K47" i="8"/>
  <c r="H47" i="8"/>
  <c r="E47" i="8"/>
  <c r="W46" i="8"/>
  <c r="T46" i="8"/>
  <c r="Q46" i="8"/>
  <c r="N46" i="8"/>
  <c r="K46" i="8"/>
  <c r="H46" i="8"/>
  <c r="E46" i="8"/>
  <c r="W30" i="8"/>
  <c r="T30" i="8"/>
  <c r="Q30" i="8"/>
  <c r="N30" i="8"/>
  <c r="K30" i="8"/>
  <c r="H30" i="8"/>
  <c r="E30" i="8"/>
  <c r="W29" i="8"/>
  <c r="T29" i="8"/>
  <c r="Q29" i="8"/>
  <c r="N29" i="8"/>
  <c r="K29" i="8"/>
  <c r="H29" i="8"/>
  <c r="E29" i="8"/>
  <c r="W28" i="8"/>
  <c r="T28" i="8"/>
  <c r="Q28" i="8"/>
  <c r="N28" i="8"/>
  <c r="K28" i="8"/>
  <c r="H28" i="8"/>
  <c r="E28" i="8"/>
  <c r="W27" i="8"/>
  <c r="T27" i="8"/>
  <c r="Q27" i="8"/>
  <c r="N27" i="8"/>
  <c r="K27" i="8"/>
  <c r="H27" i="8"/>
  <c r="E27" i="8"/>
  <c r="W26" i="8"/>
  <c r="T26" i="8"/>
  <c r="Q26" i="8"/>
  <c r="N26" i="8"/>
  <c r="K26" i="8"/>
  <c r="H26" i="8"/>
  <c r="E26" i="8"/>
  <c r="W25" i="8"/>
  <c r="T25" i="8"/>
  <c r="Q25" i="8"/>
  <c r="N25" i="8"/>
  <c r="K25" i="8"/>
  <c r="H25" i="8"/>
  <c r="E25" i="8"/>
  <c r="W24" i="8"/>
  <c r="T24" i="8"/>
  <c r="Q24" i="8"/>
  <c r="N24" i="8"/>
  <c r="K24" i="8"/>
  <c r="H24" i="8"/>
  <c r="E24" i="8"/>
  <c r="W23" i="8"/>
  <c r="AA23" i="8" s="1"/>
  <c r="T23" i="8"/>
  <c r="Q23" i="8"/>
  <c r="N23" i="8"/>
  <c r="K23" i="8"/>
  <c r="H23" i="8"/>
  <c r="E23" i="8"/>
  <c r="W22" i="8"/>
  <c r="T22" i="8"/>
  <c r="Q22" i="8"/>
  <c r="N22" i="8"/>
  <c r="H22" i="8"/>
  <c r="E22" i="8"/>
  <c r="W21" i="8"/>
  <c r="T21" i="8"/>
  <c r="Q21" i="8"/>
  <c r="N21" i="8"/>
  <c r="K21" i="8"/>
  <c r="H21" i="8"/>
  <c r="E21" i="8"/>
  <c r="W20" i="8"/>
  <c r="AA20" i="8" s="1"/>
  <c r="T20" i="8"/>
  <c r="Q20" i="8"/>
  <c r="N20" i="8"/>
  <c r="K20" i="8"/>
  <c r="H20" i="8"/>
  <c r="E20" i="8"/>
  <c r="W19" i="8"/>
  <c r="T19" i="8"/>
  <c r="Q19" i="8"/>
  <c r="N19" i="8"/>
  <c r="K19" i="8"/>
  <c r="H19" i="8"/>
  <c r="E19" i="8"/>
  <c r="W18" i="8"/>
  <c r="T18" i="8"/>
  <c r="Q18" i="8"/>
  <c r="N18" i="8"/>
  <c r="K18" i="8"/>
  <c r="H18" i="8"/>
  <c r="E18" i="8"/>
  <c r="W17" i="8"/>
  <c r="T17" i="8"/>
  <c r="Q17" i="8"/>
  <c r="N17" i="8"/>
  <c r="K17" i="8"/>
  <c r="H17" i="8"/>
  <c r="E17" i="8"/>
  <c r="W16" i="8"/>
  <c r="AA16" i="8" s="1"/>
  <c r="T16" i="8"/>
  <c r="Q16" i="8"/>
  <c r="N16" i="8"/>
  <c r="K16" i="8"/>
  <c r="H16" i="8"/>
  <c r="E16" i="8"/>
  <c r="W15" i="8"/>
  <c r="T15" i="8"/>
  <c r="Q15" i="8"/>
  <c r="N15" i="8"/>
  <c r="K15" i="8"/>
  <c r="H15" i="8"/>
  <c r="E15" i="8"/>
  <c r="W14" i="8"/>
  <c r="T14" i="8"/>
  <c r="Q14" i="8"/>
  <c r="N14" i="8"/>
  <c r="K14" i="8"/>
  <c r="H14" i="8"/>
  <c r="E14" i="8"/>
  <c r="W13" i="8"/>
  <c r="T13" i="8"/>
  <c r="Q13" i="8"/>
  <c r="N13" i="8"/>
  <c r="K13" i="8"/>
  <c r="H13" i="8"/>
  <c r="E13" i="8"/>
  <c r="W12" i="8"/>
  <c r="AA12" i="8" s="1"/>
  <c r="T12" i="8"/>
  <c r="Q12" i="8"/>
  <c r="N12" i="8"/>
  <c r="K12" i="8"/>
  <c r="H12" i="8"/>
  <c r="E12" i="8"/>
  <c r="W11" i="8"/>
  <c r="T11" i="8"/>
  <c r="Q11" i="8"/>
  <c r="N11" i="8"/>
  <c r="K11" i="8"/>
  <c r="H11" i="8"/>
  <c r="E11" i="8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L85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X196" i="9"/>
  <c r="X197" i="9"/>
  <c r="X198" i="9"/>
  <c r="X199" i="9"/>
  <c r="U196" i="9"/>
  <c r="U197" i="9"/>
  <c r="U198" i="9"/>
  <c r="U199" i="9"/>
  <c r="R196" i="9"/>
  <c r="R197" i="9"/>
  <c r="R198" i="9"/>
  <c r="R199" i="9"/>
  <c r="O196" i="9"/>
  <c r="O197" i="9"/>
  <c r="O198" i="9"/>
  <c r="O199" i="9"/>
  <c r="L196" i="9"/>
  <c r="L197" i="9"/>
  <c r="L198" i="9"/>
  <c r="L199" i="9"/>
  <c r="I196" i="9"/>
  <c r="I197" i="9"/>
  <c r="I198" i="9"/>
  <c r="I199" i="9"/>
  <c r="F196" i="9"/>
  <c r="F197" i="9"/>
  <c r="F198" i="9"/>
  <c r="F199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X66" i="9"/>
  <c r="U66" i="9"/>
  <c r="R66" i="9"/>
  <c r="O66" i="9"/>
  <c r="L66" i="9"/>
  <c r="I66" i="9"/>
  <c r="F66" i="9"/>
  <c r="X65" i="9"/>
  <c r="U65" i="9"/>
  <c r="R65" i="9"/>
  <c r="O65" i="9"/>
  <c r="L65" i="9"/>
  <c r="I65" i="9"/>
  <c r="F65" i="9"/>
  <c r="X64" i="9"/>
  <c r="U64" i="9"/>
  <c r="R64" i="9"/>
  <c r="O64" i="9"/>
  <c r="L64" i="9"/>
  <c r="I64" i="9"/>
  <c r="F64" i="9"/>
  <c r="X63" i="9"/>
  <c r="U63" i="9"/>
  <c r="R63" i="9"/>
  <c r="O63" i="9"/>
  <c r="L63" i="9"/>
  <c r="I63" i="9"/>
  <c r="F63" i="9"/>
  <c r="X62" i="9"/>
  <c r="U62" i="9"/>
  <c r="R62" i="9"/>
  <c r="O62" i="9"/>
  <c r="L62" i="9"/>
  <c r="I62" i="9"/>
  <c r="F62" i="9"/>
  <c r="X61" i="9"/>
  <c r="U61" i="9"/>
  <c r="R61" i="9"/>
  <c r="O61" i="9"/>
  <c r="L61" i="9"/>
  <c r="I61" i="9"/>
  <c r="F61" i="9"/>
  <c r="X60" i="9"/>
  <c r="U60" i="9"/>
  <c r="R60" i="9"/>
  <c r="O60" i="9"/>
  <c r="L60" i="9"/>
  <c r="I60" i="9"/>
  <c r="F60" i="9"/>
  <c r="X59" i="9"/>
  <c r="U59" i="9"/>
  <c r="R59" i="9"/>
  <c r="O59" i="9"/>
  <c r="L59" i="9"/>
  <c r="I59" i="9"/>
  <c r="F59" i="9"/>
  <c r="X58" i="9"/>
  <c r="U58" i="9"/>
  <c r="R58" i="9"/>
  <c r="O58" i="9"/>
  <c r="L58" i="9"/>
  <c r="I58" i="9"/>
  <c r="F58" i="9"/>
  <c r="X57" i="9"/>
  <c r="U57" i="9"/>
  <c r="R57" i="9"/>
  <c r="O57" i="9"/>
  <c r="L57" i="9"/>
  <c r="I57" i="9"/>
  <c r="F57" i="9"/>
  <c r="X56" i="9"/>
  <c r="U56" i="9"/>
  <c r="R56" i="9"/>
  <c r="O56" i="9"/>
  <c r="L56" i="9"/>
  <c r="I56" i="9"/>
  <c r="F56" i="9"/>
  <c r="X55" i="9"/>
  <c r="U55" i="9"/>
  <c r="R55" i="9"/>
  <c r="O55" i="9"/>
  <c r="L55" i="9"/>
  <c r="I55" i="9"/>
  <c r="F55" i="9"/>
  <c r="X54" i="9"/>
  <c r="U54" i="9"/>
  <c r="R54" i="9"/>
  <c r="O54" i="9"/>
  <c r="L54" i="9"/>
  <c r="I54" i="9"/>
  <c r="F54" i="9"/>
  <c r="X53" i="9"/>
  <c r="U53" i="9"/>
  <c r="R53" i="9"/>
  <c r="O53" i="9"/>
  <c r="L53" i="9"/>
  <c r="I53" i="9"/>
  <c r="F53" i="9"/>
  <c r="X52" i="9"/>
  <c r="U52" i="9"/>
  <c r="R52" i="9"/>
  <c r="O52" i="9"/>
  <c r="L52" i="9"/>
  <c r="I52" i="9"/>
  <c r="F52" i="9"/>
  <c r="X51" i="9"/>
  <c r="U51" i="9"/>
  <c r="R51" i="9"/>
  <c r="O51" i="9"/>
  <c r="L51" i="9"/>
  <c r="I51" i="9"/>
  <c r="F51" i="9"/>
  <c r="X50" i="9"/>
  <c r="U50" i="9"/>
  <c r="R50" i="9"/>
  <c r="O50" i="9"/>
  <c r="L50" i="9"/>
  <c r="I50" i="9"/>
  <c r="F50" i="9"/>
  <c r="X49" i="9"/>
  <c r="U49" i="9"/>
  <c r="R49" i="9"/>
  <c r="O49" i="9"/>
  <c r="L49" i="9"/>
  <c r="I49" i="9"/>
  <c r="X48" i="9"/>
  <c r="U48" i="9"/>
  <c r="R48" i="9"/>
  <c r="O48" i="9"/>
  <c r="L48" i="9"/>
  <c r="I48" i="9"/>
  <c r="F48" i="9"/>
  <c r="X30" i="9"/>
  <c r="U30" i="9"/>
  <c r="R30" i="9"/>
  <c r="O30" i="9"/>
  <c r="L30" i="9"/>
  <c r="I30" i="9"/>
  <c r="F30" i="9"/>
  <c r="X29" i="9"/>
  <c r="U29" i="9"/>
  <c r="R29" i="9"/>
  <c r="O29" i="9"/>
  <c r="L29" i="9"/>
  <c r="I29" i="9"/>
  <c r="F29" i="9"/>
  <c r="X28" i="9"/>
  <c r="U28" i="9"/>
  <c r="R28" i="9"/>
  <c r="O28" i="9"/>
  <c r="L28" i="9"/>
  <c r="I28" i="9"/>
  <c r="F28" i="9"/>
  <c r="X27" i="9"/>
  <c r="U27" i="9"/>
  <c r="R27" i="9"/>
  <c r="O27" i="9"/>
  <c r="L27" i="9"/>
  <c r="I27" i="9"/>
  <c r="F27" i="9"/>
  <c r="X26" i="9"/>
  <c r="U26" i="9"/>
  <c r="R26" i="9"/>
  <c r="O26" i="9"/>
  <c r="L26" i="9"/>
  <c r="I26" i="9"/>
  <c r="F26" i="9"/>
  <c r="X25" i="9"/>
  <c r="U25" i="9"/>
  <c r="R25" i="9"/>
  <c r="O25" i="9"/>
  <c r="L25" i="9"/>
  <c r="I25" i="9"/>
  <c r="F25" i="9"/>
  <c r="X24" i="9"/>
  <c r="U24" i="9"/>
  <c r="R24" i="9"/>
  <c r="O24" i="9"/>
  <c r="L24" i="9"/>
  <c r="I24" i="9"/>
  <c r="F24" i="9"/>
  <c r="X23" i="9"/>
  <c r="U23" i="9"/>
  <c r="R23" i="9"/>
  <c r="O23" i="9"/>
  <c r="L23" i="9"/>
  <c r="I23" i="9"/>
  <c r="F23" i="9"/>
  <c r="X22" i="9"/>
  <c r="U22" i="9"/>
  <c r="R22" i="9"/>
  <c r="O22" i="9"/>
  <c r="L22" i="9"/>
  <c r="I22" i="9"/>
  <c r="F22" i="9"/>
  <c r="X21" i="9"/>
  <c r="U21" i="9"/>
  <c r="R21" i="9"/>
  <c r="O21" i="9"/>
  <c r="L21" i="9"/>
  <c r="I21" i="9"/>
  <c r="F21" i="9"/>
  <c r="X20" i="9"/>
  <c r="U20" i="9"/>
  <c r="R20" i="9"/>
  <c r="O20" i="9"/>
  <c r="L20" i="9"/>
  <c r="I20" i="9"/>
  <c r="F20" i="9"/>
  <c r="X19" i="9"/>
  <c r="U19" i="9"/>
  <c r="R19" i="9"/>
  <c r="O19" i="9"/>
  <c r="L19" i="9"/>
  <c r="I19" i="9"/>
  <c r="F19" i="9"/>
  <c r="X18" i="9"/>
  <c r="U18" i="9"/>
  <c r="R18" i="9"/>
  <c r="O18" i="9"/>
  <c r="L18" i="9"/>
  <c r="I18" i="9"/>
  <c r="F18" i="9"/>
  <c r="X17" i="9"/>
  <c r="U17" i="9"/>
  <c r="R17" i="9"/>
  <c r="O17" i="9"/>
  <c r="L17" i="9"/>
  <c r="I17" i="9"/>
  <c r="F17" i="9"/>
  <c r="X16" i="9"/>
  <c r="U16" i="9"/>
  <c r="R16" i="9"/>
  <c r="O16" i="9"/>
  <c r="L16" i="9"/>
  <c r="I16" i="9"/>
  <c r="F16" i="9"/>
  <c r="X15" i="9"/>
  <c r="U15" i="9"/>
  <c r="R15" i="9"/>
  <c r="O15" i="9"/>
  <c r="L15" i="9"/>
  <c r="I15" i="9"/>
  <c r="F15" i="9"/>
  <c r="X14" i="9"/>
  <c r="U14" i="9"/>
  <c r="R14" i="9"/>
  <c r="O14" i="9"/>
  <c r="L14" i="9"/>
  <c r="I14" i="9"/>
  <c r="F14" i="9"/>
  <c r="X13" i="9"/>
  <c r="U13" i="9"/>
  <c r="R13" i="9"/>
  <c r="O13" i="9"/>
  <c r="L13" i="9"/>
  <c r="I13" i="9"/>
  <c r="F13" i="9"/>
  <c r="X12" i="9"/>
  <c r="U12" i="9"/>
  <c r="R12" i="9"/>
  <c r="O12" i="9"/>
  <c r="L12" i="9"/>
  <c r="I12" i="9"/>
  <c r="F12" i="9"/>
  <c r="X11" i="9"/>
  <c r="U11" i="9"/>
  <c r="R11" i="9"/>
  <c r="O11" i="9"/>
  <c r="L11" i="9"/>
  <c r="I11" i="9"/>
  <c r="F11" i="9"/>
  <c r="AA29" i="8" l="1"/>
  <c r="AA28" i="8"/>
  <c r="AB164" i="9"/>
  <c r="AB135" i="9"/>
  <c r="AB91" i="9"/>
  <c r="AA50" i="8"/>
  <c r="AA54" i="8"/>
  <c r="AA58" i="8"/>
  <c r="AA62" i="8"/>
  <c r="AA85" i="8"/>
  <c r="AA119" i="8"/>
  <c r="AB172" i="9"/>
  <c r="AB131" i="9"/>
  <c r="AB99" i="9"/>
  <c r="AB196" i="9"/>
  <c r="AB175" i="9"/>
  <c r="AB171" i="9"/>
  <c r="AB167" i="9"/>
  <c r="AB163" i="9"/>
  <c r="AB159" i="9"/>
  <c r="AB138" i="9"/>
  <c r="AB134" i="9"/>
  <c r="AB130" i="9"/>
  <c r="AB126" i="9"/>
  <c r="AB122" i="9"/>
  <c r="AB102" i="9"/>
  <c r="AB98" i="9"/>
  <c r="AB94" i="9"/>
  <c r="AB90" i="9"/>
  <c r="AB86" i="9"/>
  <c r="AA11" i="8"/>
  <c r="AA15" i="8"/>
  <c r="AA26" i="8"/>
  <c r="AA49" i="8"/>
  <c r="AA65" i="8"/>
  <c r="AA81" i="8"/>
  <c r="AA84" i="8"/>
  <c r="AA118" i="8"/>
  <c r="AB168" i="9"/>
  <c r="AB127" i="9"/>
  <c r="AB95" i="9"/>
  <c r="AB199" i="9"/>
  <c r="AB178" i="9"/>
  <c r="AB174" i="9"/>
  <c r="AB170" i="9"/>
  <c r="AB166" i="9"/>
  <c r="AB162" i="9"/>
  <c r="AB141" i="9"/>
  <c r="AB137" i="9"/>
  <c r="AB133" i="9"/>
  <c r="AB129" i="9"/>
  <c r="AB125" i="9"/>
  <c r="AB101" i="9"/>
  <c r="AB97" i="9"/>
  <c r="AB93" i="9"/>
  <c r="AB89" i="9"/>
  <c r="AB85" i="9"/>
  <c r="AA14" i="8"/>
  <c r="AA18" i="8"/>
  <c r="AA25" i="8"/>
  <c r="AA52" i="8"/>
  <c r="AA56" i="8"/>
  <c r="AA64" i="8"/>
  <c r="AA83" i="8"/>
  <c r="AA117" i="8"/>
  <c r="AB197" i="9"/>
  <c r="AB176" i="9"/>
  <c r="AB160" i="9"/>
  <c r="AB139" i="9"/>
  <c r="AB123" i="9"/>
  <c r="AB103" i="9"/>
  <c r="AB87" i="9"/>
  <c r="AB198" i="9"/>
  <c r="AB177" i="9"/>
  <c r="AB173" i="9"/>
  <c r="AB169" i="9"/>
  <c r="AB165" i="9"/>
  <c r="AB161" i="9"/>
  <c r="AB140" i="9"/>
  <c r="AB136" i="9"/>
  <c r="AB132" i="9"/>
  <c r="AB128" i="9"/>
  <c r="AB124" i="9"/>
  <c r="AB104" i="9"/>
  <c r="AB100" i="9"/>
  <c r="AB96" i="9"/>
  <c r="AB92" i="9"/>
  <c r="AB88" i="9"/>
  <c r="AA13" i="8"/>
  <c r="AA21" i="8"/>
  <c r="AA24" i="8"/>
  <c r="AA55" i="8"/>
  <c r="AA59" i="8"/>
  <c r="AA63" i="8"/>
  <c r="AA82" i="8"/>
  <c r="AA116" i="8"/>
  <c r="AA120" i="8"/>
  <c r="AA17" i="8"/>
  <c r="AA19" i="8"/>
  <c r="AA22" i="8"/>
  <c r="AA27" i="8"/>
  <c r="AA46" i="8"/>
  <c r="AA47" i="8"/>
  <c r="AA48" i="8"/>
  <c r="AA51" i="8"/>
  <c r="AA53" i="8"/>
  <c r="AA57" i="8"/>
  <c r="AA60" i="8"/>
  <c r="AA61" i="8"/>
  <c r="AB12" i="9"/>
  <c r="AB14" i="9"/>
  <c r="AB16" i="9"/>
  <c r="AB18" i="9"/>
  <c r="AB20" i="9"/>
  <c r="AB22" i="9"/>
  <c r="AB24" i="9"/>
  <c r="AB26" i="9"/>
  <c r="AB28" i="9"/>
  <c r="AB30" i="9"/>
  <c r="AB49" i="9"/>
  <c r="AB51" i="9"/>
  <c r="AB53" i="9"/>
  <c r="AB55" i="9"/>
  <c r="AB57" i="9"/>
  <c r="AB59" i="9"/>
  <c r="AB61" i="9"/>
  <c r="AB63" i="9"/>
  <c r="AB65" i="9"/>
  <c r="AB11" i="9"/>
  <c r="AB13" i="9"/>
  <c r="AB15" i="9"/>
  <c r="AB17" i="9"/>
  <c r="AB19" i="9"/>
  <c r="AB21" i="9"/>
  <c r="AB23" i="9"/>
  <c r="AB25" i="9"/>
  <c r="AB27" i="9"/>
  <c r="AB29" i="9"/>
  <c r="AB48" i="9"/>
  <c r="AB50" i="9"/>
  <c r="AB52" i="9"/>
  <c r="AB54" i="9"/>
  <c r="AB56" i="9"/>
  <c r="AB58" i="9"/>
  <c r="AB60" i="9"/>
  <c r="AB62" i="9"/>
  <c r="AB64" i="9"/>
  <c r="AB66" i="9"/>
  <c r="W61" i="7"/>
  <c r="T61" i="7"/>
  <c r="Q61" i="7"/>
  <c r="N61" i="7"/>
  <c r="K61" i="7"/>
  <c r="H61" i="7"/>
  <c r="E61" i="7"/>
  <c r="AA61" i="7" l="1"/>
  <c r="W91" i="7"/>
  <c r="T91" i="7"/>
  <c r="Q91" i="7"/>
  <c r="N91" i="7"/>
  <c r="K91" i="7"/>
  <c r="H91" i="7"/>
  <c r="W90" i="7"/>
  <c r="T90" i="7"/>
  <c r="Q90" i="7"/>
  <c r="N90" i="7"/>
  <c r="K90" i="7"/>
  <c r="H90" i="7"/>
  <c r="E90" i="7"/>
  <c r="W89" i="7"/>
  <c r="T89" i="7"/>
  <c r="Q89" i="7"/>
  <c r="N89" i="7"/>
  <c r="K89" i="7"/>
  <c r="H89" i="7"/>
  <c r="E89" i="7"/>
  <c r="W88" i="7"/>
  <c r="T88" i="7"/>
  <c r="Q88" i="7"/>
  <c r="N88" i="7"/>
  <c r="K88" i="7"/>
  <c r="H88" i="7"/>
  <c r="E88" i="7"/>
  <c r="W87" i="7"/>
  <c r="T87" i="7"/>
  <c r="Q87" i="7"/>
  <c r="N87" i="7"/>
  <c r="K87" i="7"/>
  <c r="H87" i="7"/>
  <c r="E87" i="7"/>
  <c r="W86" i="7"/>
  <c r="T86" i="7"/>
  <c r="Q86" i="7"/>
  <c r="N86" i="7"/>
  <c r="K86" i="7"/>
  <c r="H86" i="7"/>
  <c r="E86" i="7"/>
  <c r="W85" i="7"/>
  <c r="T85" i="7"/>
  <c r="Q85" i="7"/>
  <c r="N85" i="7"/>
  <c r="K85" i="7"/>
  <c r="H85" i="7"/>
  <c r="E85" i="7"/>
  <c r="W84" i="7"/>
  <c r="T84" i="7"/>
  <c r="Q84" i="7"/>
  <c r="N84" i="7"/>
  <c r="K84" i="7"/>
  <c r="H84" i="7"/>
  <c r="E84" i="7"/>
  <c r="W83" i="7"/>
  <c r="T83" i="7"/>
  <c r="Q83" i="7"/>
  <c r="N83" i="7"/>
  <c r="K83" i="7"/>
  <c r="H83" i="7"/>
  <c r="E83" i="7"/>
  <c r="W82" i="7"/>
  <c r="T82" i="7"/>
  <c r="Q82" i="7"/>
  <c r="N82" i="7"/>
  <c r="K82" i="7"/>
  <c r="H82" i="7"/>
  <c r="E82" i="7"/>
  <c r="W62" i="7"/>
  <c r="T62" i="7"/>
  <c r="Q62" i="7"/>
  <c r="N62" i="7"/>
  <c r="K62" i="7"/>
  <c r="H62" i="7"/>
  <c r="E62" i="7"/>
  <c r="W60" i="7"/>
  <c r="T60" i="7"/>
  <c r="Q60" i="7"/>
  <c r="N60" i="7"/>
  <c r="K60" i="7"/>
  <c r="H60" i="7"/>
  <c r="E60" i="7"/>
  <c r="W59" i="7"/>
  <c r="T59" i="7"/>
  <c r="Q59" i="7"/>
  <c r="N59" i="7"/>
  <c r="H59" i="7"/>
  <c r="E59" i="7"/>
  <c r="W58" i="7"/>
  <c r="T58" i="7"/>
  <c r="Q58" i="7"/>
  <c r="N58" i="7"/>
  <c r="K58" i="7"/>
  <c r="H58" i="7"/>
  <c r="E58" i="7"/>
  <c r="W57" i="7"/>
  <c r="T57" i="7"/>
  <c r="Q57" i="7"/>
  <c r="N57" i="7"/>
  <c r="K57" i="7"/>
  <c r="H57" i="7"/>
  <c r="E57" i="7"/>
  <c r="W56" i="7"/>
  <c r="T56" i="7"/>
  <c r="Q56" i="7"/>
  <c r="N56" i="7"/>
  <c r="K56" i="7"/>
  <c r="H56" i="7"/>
  <c r="E56" i="7"/>
  <c r="W55" i="7"/>
  <c r="T55" i="7"/>
  <c r="Q55" i="7"/>
  <c r="N55" i="7"/>
  <c r="K55" i="7"/>
  <c r="H55" i="7"/>
  <c r="E55" i="7"/>
  <c r="W54" i="7"/>
  <c r="T54" i="7"/>
  <c r="Q54" i="7"/>
  <c r="N54" i="7"/>
  <c r="K54" i="7"/>
  <c r="H54" i="7"/>
  <c r="E54" i="7"/>
  <c r="W53" i="7"/>
  <c r="T53" i="7"/>
  <c r="Q53" i="7"/>
  <c r="N53" i="7"/>
  <c r="K53" i="7"/>
  <c r="H53" i="7"/>
  <c r="E53" i="7"/>
  <c r="W52" i="7"/>
  <c r="T52" i="7"/>
  <c r="Q52" i="7"/>
  <c r="N52" i="7"/>
  <c r="K52" i="7"/>
  <c r="H52" i="7"/>
  <c r="E52" i="7"/>
  <c r="W51" i="7"/>
  <c r="T51" i="7"/>
  <c r="Q51" i="7"/>
  <c r="N51" i="7"/>
  <c r="K51" i="7"/>
  <c r="H51" i="7"/>
  <c r="E51" i="7"/>
  <c r="W50" i="7"/>
  <c r="T50" i="7"/>
  <c r="Q50" i="7"/>
  <c r="N50" i="7"/>
  <c r="K50" i="7"/>
  <c r="H50" i="7"/>
  <c r="E50" i="7"/>
  <c r="W49" i="7"/>
  <c r="T49" i="7"/>
  <c r="N49" i="7"/>
  <c r="K49" i="7"/>
  <c r="H49" i="7"/>
  <c r="E49" i="7"/>
  <c r="W48" i="7"/>
  <c r="T48" i="7"/>
  <c r="Q48" i="7"/>
  <c r="N48" i="7"/>
  <c r="K48" i="7"/>
  <c r="H48" i="7"/>
  <c r="E48" i="7"/>
  <c r="W47" i="7"/>
  <c r="T47" i="7"/>
  <c r="Q47" i="7"/>
  <c r="N47" i="7"/>
  <c r="K47" i="7"/>
  <c r="H47" i="7"/>
  <c r="E47" i="7"/>
  <c r="W46" i="7"/>
  <c r="T46" i="7"/>
  <c r="Q46" i="7"/>
  <c r="N46" i="7"/>
  <c r="K46" i="7"/>
  <c r="H46" i="7"/>
  <c r="W29" i="7"/>
  <c r="T29" i="7"/>
  <c r="Q29" i="7"/>
  <c r="N29" i="7"/>
  <c r="K29" i="7"/>
  <c r="H29" i="7"/>
  <c r="E29" i="7"/>
  <c r="W28" i="7"/>
  <c r="T28" i="7"/>
  <c r="Q28" i="7"/>
  <c r="N28" i="7"/>
  <c r="K28" i="7"/>
  <c r="H28" i="7"/>
  <c r="E28" i="7"/>
  <c r="W27" i="7"/>
  <c r="T27" i="7"/>
  <c r="Q27" i="7"/>
  <c r="N27" i="7"/>
  <c r="K27" i="7"/>
  <c r="H27" i="7"/>
  <c r="E27" i="7"/>
  <c r="W26" i="7"/>
  <c r="T26" i="7"/>
  <c r="Q26" i="7"/>
  <c r="N26" i="7"/>
  <c r="K26" i="7"/>
  <c r="H26" i="7"/>
  <c r="E26" i="7"/>
  <c r="W25" i="7"/>
  <c r="T25" i="7"/>
  <c r="Q25" i="7"/>
  <c r="N25" i="7"/>
  <c r="K25" i="7"/>
  <c r="H25" i="7"/>
  <c r="E25" i="7"/>
  <c r="W24" i="7"/>
  <c r="T24" i="7"/>
  <c r="Q24" i="7"/>
  <c r="N24" i="7"/>
  <c r="K24" i="7"/>
  <c r="H24" i="7"/>
  <c r="E24" i="7"/>
  <c r="W23" i="7"/>
  <c r="T23" i="7"/>
  <c r="Q23" i="7"/>
  <c r="N23" i="7"/>
  <c r="K23" i="7"/>
  <c r="H23" i="7"/>
  <c r="E23" i="7"/>
  <c r="W22" i="7"/>
  <c r="T22" i="7"/>
  <c r="Q22" i="7"/>
  <c r="N22" i="7"/>
  <c r="K22" i="7"/>
  <c r="H22" i="7"/>
  <c r="E22" i="7"/>
  <c r="W21" i="7"/>
  <c r="T21" i="7"/>
  <c r="Q21" i="7"/>
  <c r="N21" i="7"/>
  <c r="K21" i="7"/>
  <c r="H21" i="7"/>
  <c r="E21" i="7"/>
  <c r="W20" i="7"/>
  <c r="T20" i="7"/>
  <c r="Q20" i="7"/>
  <c r="N20" i="7"/>
  <c r="K20" i="7"/>
  <c r="H20" i="7"/>
  <c r="E20" i="7"/>
  <c r="W19" i="7"/>
  <c r="T19" i="7"/>
  <c r="Q19" i="7"/>
  <c r="N19" i="7"/>
  <c r="K19" i="7"/>
  <c r="H19" i="7"/>
  <c r="E19" i="7"/>
  <c r="W18" i="7"/>
  <c r="T18" i="7"/>
  <c r="Q18" i="7"/>
  <c r="N18" i="7"/>
  <c r="K18" i="7"/>
  <c r="H18" i="7"/>
  <c r="E18" i="7"/>
  <c r="W17" i="7"/>
  <c r="T17" i="7"/>
  <c r="Q17" i="7"/>
  <c r="N17" i="7"/>
  <c r="K17" i="7"/>
  <c r="H17" i="7"/>
  <c r="E17" i="7"/>
  <c r="W16" i="7"/>
  <c r="T16" i="7"/>
  <c r="Q16" i="7"/>
  <c r="N16" i="7"/>
  <c r="K16" i="7"/>
  <c r="H16" i="7"/>
  <c r="E16" i="7"/>
  <c r="W15" i="7"/>
  <c r="T15" i="7"/>
  <c r="Q15" i="7"/>
  <c r="N15" i="7"/>
  <c r="K15" i="7"/>
  <c r="H15" i="7"/>
  <c r="E15" i="7"/>
  <c r="W14" i="7"/>
  <c r="T14" i="7"/>
  <c r="Q14" i="7"/>
  <c r="N14" i="7"/>
  <c r="K14" i="7"/>
  <c r="H14" i="7"/>
  <c r="E14" i="7"/>
  <c r="W13" i="7"/>
  <c r="T13" i="7"/>
  <c r="Q13" i="7"/>
  <c r="N13" i="7"/>
  <c r="K13" i="7"/>
  <c r="H13" i="7"/>
  <c r="E13" i="7"/>
  <c r="W12" i="7"/>
  <c r="T12" i="7"/>
  <c r="Q12" i="7"/>
  <c r="N12" i="7"/>
  <c r="K12" i="7"/>
  <c r="H12" i="7"/>
  <c r="E12" i="7"/>
  <c r="W11" i="7"/>
  <c r="T11" i="7"/>
  <c r="Q11" i="7"/>
  <c r="N11" i="7"/>
  <c r="K11" i="7"/>
  <c r="H11" i="7"/>
  <c r="E11" i="7"/>
  <c r="W10" i="7"/>
  <c r="T10" i="7"/>
  <c r="Q10" i="7"/>
  <c r="N10" i="7"/>
  <c r="K10" i="7"/>
  <c r="H10" i="7"/>
  <c r="E10" i="7"/>
  <c r="AA52" i="7" l="1"/>
  <c r="AA11" i="7"/>
  <c r="AA13" i="7"/>
  <c r="AA17" i="7"/>
  <c r="AA21" i="7"/>
  <c r="AA23" i="7"/>
  <c r="AA25" i="7"/>
  <c r="AA27" i="7"/>
  <c r="AA29" i="7"/>
  <c r="AA46" i="7"/>
  <c r="AA48" i="7"/>
  <c r="AA50" i="7"/>
  <c r="AA54" i="7"/>
  <c r="AA56" i="7"/>
  <c r="AA58" i="7"/>
  <c r="AA60" i="7"/>
  <c r="AA83" i="7"/>
  <c r="AA85" i="7"/>
  <c r="AA87" i="7"/>
  <c r="AA90" i="7"/>
  <c r="AA15" i="7"/>
  <c r="AA19" i="7"/>
  <c r="AA10" i="7"/>
  <c r="AA12" i="7"/>
  <c r="AA14" i="7"/>
  <c r="AA16" i="7"/>
  <c r="AA18" i="7"/>
  <c r="AA20" i="7"/>
  <c r="AA22" i="7"/>
  <c r="AA24" i="7"/>
  <c r="AA26" i="7"/>
  <c r="AA28" i="7"/>
  <c r="AA47" i="7"/>
  <c r="AA49" i="7"/>
  <c r="AA51" i="7"/>
  <c r="AA53" i="7"/>
  <c r="AA55" i="7"/>
  <c r="AA57" i="7"/>
  <c r="AA59" i="7"/>
  <c r="AA62" i="7"/>
  <c r="AA82" i="7"/>
  <c r="AA84" i="7"/>
  <c r="AA86" i="7"/>
  <c r="AA88" i="7"/>
  <c r="AA89" i="7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AA13" i="4" l="1"/>
  <c r="AA27" i="4"/>
  <c r="AA25" i="4"/>
  <c r="AA23" i="4"/>
  <c r="AA21" i="4"/>
  <c r="AA19" i="4"/>
  <c r="AA17" i="4"/>
  <c r="AA15" i="4"/>
  <c r="AA28" i="4"/>
  <c r="AA26" i="4"/>
  <c r="AA24" i="4"/>
  <c r="AA22" i="4"/>
  <c r="AA20" i="4"/>
  <c r="AA18" i="4"/>
  <c r="AA16" i="4"/>
  <c r="AA12" i="4"/>
  <c r="AA10" i="4"/>
  <c r="AA11" i="4"/>
  <c r="AA14" i="4"/>
  <c r="W218" i="4"/>
  <c r="W219" i="4"/>
  <c r="W220" i="4"/>
  <c r="W221" i="4"/>
  <c r="W222" i="4"/>
  <c r="W223" i="4"/>
  <c r="Q218" i="4"/>
  <c r="Q219" i="4"/>
  <c r="Q220" i="4"/>
  <c r="Q221" i="4"/>
  <c r="Q222" i="4"/>
  <c r="Q223" i="4"/>
  <c r="K218" i="4"/>
  <c r="K219" i="4"/>
  <c r="K220" i="4"/>
  <c r="K221" i="4"/>
  <c r="K222" i="4"/>
  <c r="K223" i="4"/>
  <c r="H218" i="4"/>
  <c r="H219" i="4"/>
  <c r="H220" i="4"/>
  <c r="H221" i="4"/>
  <c r="H222" i="4"/>
  <c r="H223" i="4"/>
  <c r="E218" i="4"/>
  <c r="E219" i="4"/>
  <c r="E220" i="4"/>
  <c r="E221" i="4"/>
  <c r="E222" i="4"/>
  <c r="E223" i="4"/>
  <c r="AA223" i="4" l="1"/>
  <c r="AA221" i="4"/>
  <c r="AA219" i="4"/>
  <c r="AA222" i="4"/>
  <c r="AA220" i="4"/>
  <c r="AA218" i="4"/>
  <c r="A109" i="7"/>
</calcChain>
</file>

<file path=xl/sharedStrings.xml><?xml version="1.0" encoding="utf-8"?>
<sst xmlns="http://schemas.openxmlformats.org/spreadsheetml/2006/main" count="3327" uniqueCount="645">
  <si>
    <t>رقم المسلسل</t>
  </si>
  <si>
    <t>التربية الإسلامية</t>
  </si>
  <si>
    <t>اللغة العربية</t>
  </si>
  <si>
    <t xml:space="preserve">الرياضيات </t>
  </si>
  <si>
    <t>الاجتماعيات</t>
  </si>
  <si>
    <t>العلوم</t>
  </si>
  <si>
    <t xml:space="preserve">الفصل الأول </t>
  </si>
  <si>
    <t>المجموع</t>
  </si>
  <si>
    <t>اللغة الإنجليزية</t>
  </si>
  <si>
    <t>أخلاص فائز سعود ناصر</t>
  </si>
  <si>
    <t>أحلام ناظر سالم صروالي</t>
  </si>
  <si>
    <t xml:space="preserve">أمل محمد عبدالله أحمد </t>
  </si>
  <si>
    <t>تهاني محمد أحمد علصاص</t>
  </si>
  <si>
    <t>حليمة علي بدوي كردي</t>
  </si>
  <si>
    <t xml:space="preserve">حنان علي محمد علي </t>
  </si>
  <si>
    <t xml:space="preserve">سلامة سعد جمعان سعد </t>
  </si>
  <si>
    <t>الحاسوب</t>
  </si>
  <si>
    <t>الفنية</t>
  </si>
  <si>
    <t>البدنية</t>
  </si>
  <si>
    <t xml:space="preserve">المجموع الكلي </t>
  </si>
  <si>
    <t>النتيجة النهائية</t>
  </si>
  <si>
    <t>ملاحظات</t>
  </si>
  <si>
    <t>شيخة سعيد جمعان محمد</t>
  </si>
  <si>
    <t>عفاف سالم بدوي كردي</t>
  </si>
  <si>
    <t>عهود موسي مبارك عيسي</t>
  </si>
  <si>
    <t>عونة بدر سعد طاحس</t>
  </si>
  <si>
    <t xml:space="preserve">فاطمة فكري سعد علي </t>
  </si>
  <si>
    <t xml:space="preserve">لبنة سمير غانم سالم </t>
  </si>
  <si>
    <t xml:space="preserve">لبنة علي جمعان حمودي </t>
  </si>
  <si>
    <t>ملاك أكرم سعيد حسين</t>
  </si>
  <si>
    <t xml:space="preserve">طواف جميل طيب حرف </t>
  </si>
  <si>
    <t>مريم سعد أحمد سالم</t>
  </si>
  <si>
    <t xml:space="preserve">بلقيس صبري عثمان سعيد </t>
  </si>
  <si>
    <t xml:space="preserve">جوهرة خالد أحمد سالم </t>
  </si>
  <si>
    <t xml:space="preserve">دلال عثمان عبدالله راشد </t>
  </si>
  <si>
    <t>مريم سعد عيسي علي</t>
  </si>
  <si>
    <t xml:space="preserve">نور جميل سالم سبيت </t>
  </si>
  <si>
    <t xml:space="preserve">نظرة طاهر محمد علي </t>
  </si>
  <si>
    <t xml:space="preserve">نوال صبري خميس سليمان </t>
  </si>
  <si>
    <t xml:space="preserve">نور ندير خميس جمعان </t>
  </si>
  <si>
    <t>نور عصام سالم سبيت</t>
  </si>
  <si>
    <t>هنادي تاني علي عيسي</t>
  </si>
  <si>
    <t xml:space="preserve">هدى عبدالعزيز محمد سالمين </t>
  </si>
  <si>
    <t xml:space="preserve">هند تالي عيسي طاحس </t>
  </si>
  <si>
    <t xml:space="preserve">هاله عبدالله سالم محمد </t>
  </si>
  <si>
    <t xml:space="preserve">هياء هاني قيطان طيموك </t>
  </si>
  <si>
    <t xml:space="preserve">أحمد عثمان أحمد عيسي </t>
  </si>
  <si>
    <t xml:space="preserve">أدهم فضل أيوهور جمعان </t>
  </si>
  <si>
    <t>البراء موسي يحيي محمد</t>
  </si>
  <si>
    <t xml:space="preserve">بريك خميس عوض مبارك </t>
  </si>
  <si>
    <t xml:space="preserve">بسام عبدالباسط سعيد عيسي </t>
  </si>
  <si>
    <t xml:space="preserve">جلابيب سهيل ربيع مرجان </t>
  </si>
  <si>
    <t xml:space="preserve">جميل سالم محمد موسي </t>
  </si>
  <si>
    <t xml:space="preserve">خالد أحمد سعد طاحس </t>
  </si>
  <si>
    <t>خالد عصام أحمد  سعيد</t>
  </si>
  <si>
    <t>خالد جميل سالم سبيت</t>
  </si>
  <si>
    <t xml:space="preserve">خليفة نبيل مسلم حديد </t>
  </si>
  <si>
    <t>راشد رائد عبدالباسط سعيد</t>
  </si>
  <si>
    <t>راشد مشتاق محمد خليفة</t>
  </si>
  <si>
    <t>سعد إبراهيم جمعان سعد</t>
  </si>
  <si>
    <t xml:space="preserve">سعيد إمير سعيد أحمد </t>
  </si>
  <si>
    <t xml:space="preserve">سند رامي عدنان أحمد </t>
  </si>
  <si>
    <t>سعيد قاسم محمد قاسم</t>
  </si>
  <si>
    <t>شهاب  يوسف شوقي سالم</t>
  </si>
  <si>
    <t>صدام  صادق ريحان خميس</t>
  </si>
  <si>
    <t>علي سالم علي سعد</t>
  </si>
  <si>
    <t xml:space="preserve">علي حسان جمعان سعد </t>
  </si>
  <si>
    <t>علي حسن طنوز سويد</t>
  </si>
  <si>
    <t>علي موسي أحمد موسي</t>
  </si>
  <si>
    <t>عيسي عارف حمود مبارك</t>
  </si>
  <si>
    <t xml:space="preserve">عيسي قاسم أحمد محمد </t>
  </si>
  <si>
    <t>عبدالله علي عبدالله عامر زركن</t>
  </si>
  <si>
    <t>فهد امير سعيد أحمد</t>
  </si>
  <si>
    <t>محمد غانم محمد موسي</t>
  </si>
  <si>
    <t>محمد إسحاق محمد موسي</t>
  </si>
  <si>
    <t xml:space="preserve">محمد فرحان محمد عبدالله </t>
  </si>
  <si>
    <t>محمد هاني محمد حسين صالح</t>
  </si>
  <si>
    <t xml:space="preserve">مازن صبري سعيد أحمد </t>
  </si>
  <si>
    <t xml:space="preserve">ناصر رائد سعيد عامر </t>
  </si>
  <si>
    <t xml:space="preserve">نسيم محمد عمرين بشير </t>
  </si>
  <si>
    <t xml:space="preserve">يحيي فائز محمد سالمين </t>
  </si>
  <si>
    <t>وزارة التربية والتعليم</t>
  </si>
  <si>
    <t>رئيس قسم الاختبارات</t>
  </si>
  <si>
    <t>مدير إدارة التربية والتعليم بالمديرية</t>
  </si>
  <si>
    <t xml:space="preserve">         يعتمد</t>
  </si>
  <si>
    <t>مدير مكتب التربية والتعليم</t>
  </si>
  <si>
    <t>كشف رقم (           )</t>
  </si>
  <si>
    <t>الشعبة(               )</t>
  </si>
  <si>
    <t>الصف الأول</t>
  </si>
  <si>
    <t>التوقيع /___________________</t>
  </si>
  <si>
    <t>الاسم / محمد علي عبدالله القعود</t>
  </si>
  <si>
    <t>التوقيع / _____________</t>
  </si>
  <si>
    <t>الختم _______________</t>
  </si>
  <si>
    <t>الاسم / __________________</t>
  </si>
  <si>
    <t>التوقيع __________________</t>
  </si>
  <si>
    <t>الختم / __________________</t>
  </si>
  <si>
    <t>الاسم / ______________________</t>
  </si>
  <si>
    <t>التوقيع / _____________________</t>
  </si>
  <si>
    <t>الخـــتم / _____________________</t>
  </si>
  <si>
    <t>الختم / ___________</t>
  </si>
  <si>
    <t xml:space="preserve">المدرسة / سعيد سالم باحقيبة </t>
  </si>
  <si>
    <t>A6:A27AB4AA6:B27</t>
  </si>
  <si>
    <t xml:space="preserve">أردوغان رياض حمودي أحمد </t>
  </si>
  <si>
    <t>الشعبة(    ألاولى           )</t>
  </si>
  <si>
    <t>كشف رقم (    1       )</t>
  </si>
  <si>
    <t>غائب</t>
  </si>
  <si>
    <t xml:space="preserve">الصف ألاول </t>
  </si>
  <si>
    <t>الشعبة(  الاولى             )</t>
  </si>
  <si>
    <t xml:space="preserve">إمين أحمد علي عيسي </t>
  </si>
  <si>
    <t>حمد محمد جمعان  مكندو</t>
  </si>
  <si>
    <t>حمدان علي سعد سليمان</t>
  </si>
  <si>
    <t xml:space="preserve">حمدان سعود حديد محمد </t>
  </si>
  <si>
    <t xml:space="preserve">خميس أسماعيل موسي أحمد </t>
  </si>
  <si>
    <t xml:space="preserve">سلمان فائز موسى طاحس </t>
  </si>
  <si>
    <t>كتبة الاسم/ وفاء سليمان أحمد نوح</t>
  </si>
  <si>
    <t>كتبة الاسم/ إيمان أحمد علي أحمد</t>
  </si>
  <si>
    <t xml:space="preserve">كتبة الاسم / فاطمة سعيد علي </t>
  </si>
  <si>
    <t>ناجح</t>
  </si>
  <si>
    <t>الأولى</t>
  </si>
  <si>
    <t>الصف االسابع</t>
  </si>
  <si>
    <t xml:space="preserve">أحمد سعد طاهر علي </t>
  </si>
  <si>
    <t xml:space="preserve">أحمد فائز سالم صروالي </t>
  </si>
  <si>
    <t xml:space="preserve">أحمد محمد سعيد سالم </t>
  </si>
  <si>
    <t xml:space="preserve">أحمد فائز محمد سالم </t>
  </si>
  <si>
    <t xml:space="preserve">أحمد عيسي أحمد سالم </t>
  </si>
  <si>
    <t xml:space="preserve">أمين عبدالله ريحان خميس </t>
  </si>
  <si>
    <t xml:space="preserve">جمعان راشد جمعان مبارك </t>
  </si>
  <si>
    <t xml:space="preserve">جمعان عادل جمعان سعد </t>
  </si>
  <si>
    <t xml:space="preserve">حسام خالد أحمد جيلان </t>
  </si>
  <si>
    <t xml:space="preserve">خالد نظير خميس نصيب </t>
  </si>
  <si>
    <t xml:space="preserve">خالد محمد رجب محمد </t>
  </si>
  <si>
    <t xml:space="preserve">راشد سالم عبدالله حسن </t>
  </si>
  <si>
    <t xml:space="preserve">سالم محمد سعيد سالم </t>
  </si>
  <si>
    <t xml:space="preserve">سلطان عائد سالم راشد </t>
  </si>
  <si>
    <t xml:space="preserve">سالم شاكر علي موسي </t>
  </si>
  <si>
    <t xml:space="preserve">سيف معاذ سعد سالم </t>
  </si>
  <si>
    <t xml:space="preserve">صالح علي أحمد عا مر </t>
  </si>
  <si>
    <t xml:space="preserve">صالح حلمي  صالح هادي </t>
  </si>
  <si>
    <t xml:space="preserve">عبدالله سعد عيسي عامر </t>
  </si>
  <si>
    <t xml:space="preserve">عبدالله موسي عبدالله مالك </t>
  </si>
  <si>
    <t xml:space="preserve">عادل طاهر علي مبارك </t>
  </si>
  <si>
    <t xml:space="preserve">عمار سعيد خميس موسى </t>
  </si>
  <si>
    <t xml:space="preserve">عيسي علي عيسي علي </t>
  </si>
  <si>
    <t xml:space="preserve">عبدالمجيد علي سعد علي </t>
  </si>
  <si>
    <t xml:space="preserve">عيسي تاني أحمد علي </t>
  </si>
  <si>
    <t xml:space="preserve">عبد الحميد تاني أحمد عيسي </t>
  </si>
  <si>
    <t xml:space="preserve">عبدالله علي سالم صالح </t>
  </si>
  <si>
    <t>عدنان زهير عبدالله أحمد</t>
  </si>
  <si>
    <t>غالب سعيد جمعان سعد</t>
  </si>
  <si>
    <t>محمود سعيد مبارك سعيد</t>
  </si>
  <si>
    <t xml:space="preserve">مصعب أيهاب يحيي أحمد </t>
  </si>
  <si>
    <t>محمد سعد أحمد  سالم</t>
  </si>
  <si>
    <t xml:space="preserve">محمود محمد ناصر عبدالله </t>
  </si>
  <si>
    <t xml:space="preserve">محمد أحمد علي عامر </t>
  </si>
  <si>
    <t xml:space="preserve">محمود نبيل عدنان أحمد </t>
  </si>
  <si>
    <t>محمد ياسر سليمان خميس</t>
  </si>
  <si>
    <t>محمد رامي عدنان أحمد</t>
  </si>
  <si>
    <t>كشف رقم (    2       )</t>
  </si>
  <si>
    <t>الصف السابع</t>
  </si>
  <si>
    <t>كشف رقم (   3       )</t>
  </si>
  <si>
    <t>أحمد سالم عيسي قاسم</t>
  </si>
  <si>
    <t>أحمد علي عيسي علي</t>
  </si>
  <si>
    <t>أحمد  خالد شائف علي</t>
  </si>
  <si>
    <t>أدهم عبدالباسط سعيد عيسي</t>
  </si>
  <si>
    <t>أنس سعيد عيسي علي</t>
  </si>
  <si>
    <t>بدر أكرم انيس سالم</t>
  </si>
  <si>
    <t xml:space="preserve">راشد سامح عبدالله مقبل </t>
  </si>
  <si>
    <t>سالم أحمد سالم أحمد</t>
  </si>
  <si>
    <t>سعد فيصل سعد أحمد</t>
  </si>
  <si>
    <t>سعيد أحمد عيسي موسي</t>
  </si>
  <si>
    <t xml:space="preserve">سلمان عيسي سليمان عامر </t>
  </si>
  <si>
    <t xml:space="preserve">سعيد علي عيسي علي </t>
  </si>
  <si>
    <t xml:space="preserve">صالح سالم محمد سالم </t>
  </si>
  <si>
    <t xml:space="preserve">صلاح علي سالم علي </t>
  </si>
  <si>
    <t xml:space="preserve">عبدالله فهد أحمد عامر </t>
  </si>
  <si>
    <t xml:space="preserve">عاصم موسي مبارك عيسي </t>
  </si>
  <si>
    <t>عاصم تاني أحمد علي</t>
  </si>
  <si>
    <t xml:space="preserve">علي هاني علي سالم </t>
  </si>
  <si>
    <t>علي ياسر سليمان خميس</t>
  </si>
  <si>
    <t xml:space="preserve">علي عبدالعزيز علي أحمد </t>
  </si>
  <si>
    <t>علي سالم أحمد زبرار</t>
  </si>
  <si>
    <t>علي تاني أحمد عيسي</t>
  </si>
  <si>
    <t xml:space="preserve">عيسي عبداللطيف سعد حمودى </t>
  </si>
  <si>
    <t>عيسي محمد سعيد أحمد</t>
  </si>
  <si>
    <t xml:space="preserve">عرفات عيسي محمد عفان </t>
  </si>
  <si>
    <t xml:space="preserve">عبدالعزيز محمد مرشد عبدالله </t>
  </si>
  <si>
    <t>عمار فائز سالم صروالي</t>
  </si>
  <si>
    <t xml:space="preserve">ماجد عبدالله سعيد جمعان </t>
  </si>
  <si>
    <t>مازن محمد عدهن سعد</t>
  </si>
  <si>
    <t>محمد غانم محمد شجنع</t>
  </si>
  <si>
    <t>محمد طاهر محمد علي</t>
  </si>
  <si>
    <t>محمد أنور محمد سعد</t>
  </si>
  <si>
    <t xml:space="preserve">يوسف أحمد موسي بشير </t>
  </si>
  <si>
    <t xml:space="preserve">الاء خالد تاني أحمد </t>
  </si>
  <si>
    <t xml:space="preserve">ايمان عبداللطيف مبارك عيسي </t>
  </si>
  <si>
    <t xml:space="preserve">أحلام علي عامر أحمد </t>
  </si>
  <si>
    <t xml:space="preserve">أمواج فائز ربيان مبارك </t>
  </si>
  <si>
    <t xml:space="preserve">أسماء معاذ سعد سالم </t>
  </si>
  <si>
    <t>أسماء محمد أحمد علصاص</t>
  </si>
  <si>
    <t xml:space="preserve">خلود أحمد سالم محمد </t>
  </si>
  <si>
    <t xml:space="preserve">ريم علي عبدالله عامر </t>
  </si>
  <si>
    <t xml:space="preserve">ريهام خالد أحمد جيلان </t>
  </si>
  <si>
    <t xml:space="preserve">رغد بشير عبد الغني فاضل </t>
  </si>
  <si>
    <t xml:space="preserve">زينات سقاف سالم راشد </t>
  </si>
  <si>
    <t xml:space="preserve">سعاد عوض مسلم عبدالله  </t>
  </si>
  <si>
    <t xml:space="preserve">سعاد أحمد عيسي قيهان </t>
  </si>
  <si>
    <t xml:space="preserve">سلمى محمد مبارك سعيد </t>
  </si>
  <si>
    <t xml:space="preserve">سماح أحمد سالم صالح </t>
  </si>
  <si>
    <t xml:space="preserve">سعيدة أحمد قيهان أحمد </t>
  </si>
  <si>
    <t xml:space="preserve">سهام محمد سعيد مسلم </t>
  </si>
  <si>
    <t xml:space="preserve">شروق أمين أحمد خميس </t>
  </si>
  <si>
    <t xml:space="preserve">عفاف فيصل محمد سالم </t>
  </si>
  <si>
    <t xml:space="preserve">غفول أحمد ربيان مبارك </t>
  </si>
  <si>
    <t xml:space="preserve">مهاء حاج عبدالله حاج </t>
  </si>
  <si>
    <t xml:space="preserve">مرام خالد أحمد جيلان </t>
  </si>
  <si>
    <t xml:space="preserve">مريم سعود حديد محمد </t>
  </si>
  <si>
    <t xml:space="preserve">مهاء محمد عيدهن عيسي </t>
  </si>
  <si>
    <t xml:space="preserve">نسرين نادر محمد يعقوب </t>
  </si>
  <si>
    <t>كتبة الاسم / أنغام عبدالكريم</t>
  </si>
  <si>
    <t>كتبة الاسم / بغداد علي علي شاني</t>
  </si>
  <si>
    <t>كتبة الاسم /بغداد علي علي شاني</t>
  </si>
  <si>
    <t>نجمة سالم ربيع مرجان</t>
  </si>
  <si>
    <t>ولية يحي سميح عيسي</t>
  </si>
  <si>
    <t>هاجر عيسي أحمد سالم</t>
  </si>
  <si>
    <t>هيباء غانم سلم هلال</t>
  </si>
  <si>
    <t>الصف االتاسع</t>
  </si>
  <si>
    <t>الشعبة(  التانية       )</t>
  </si>
  <si>
    <t>الصف /التاسع</t>
  </si>
  <si>
    <t>الصف/ التاسع</t>
  </si>
  <si>
    <t>إبراهيم خميس أبراهيم عافر</t>
  </si>
  <si>
    <t xml:space="preserve">أحمد سالم سبيت أحمد </t>
  </si>
  <si>
    <t>احمد صالح سعيد محمد</t>
  </si>
  <si>
    <t xml:space="preserve">أحمد عبدالله أحمد سعيد </t>
  </si>
  <si>
    <t xml:space="preserve">أحمد عبدالله سعد عثمان </t>
  </si>
  <si>
    <t xml:space="preserve">أحمد عامر أحمد ماسى </t>
  </si>
  <si>
    <t xml:space="preserve">جمعان تالي عبدالله أحمد </t>
  </si>
  <si>
    <t>حسان علي تاني جمعان سعد</t>
  </si>
  <si>
    <t>خميس عقيل خميس علي</t>
  </si>
  <si>
    <t xml:space="preserve">زاهر أمير سالمين قاسم </t>
  </si>
  <si>
    <t xml:space="preserve">سعيد سالم سبيت أحمد </t>
  </si>
  <si>
    <t xml:space="preserve">سعد عبدالرحيم محمد بعدهين </t>
  </si>
  <si>
    <t xml:space="preserve">سعد عبدالله سعد عبدالله </t>
  </si>
  <si>
    <t xml:space="preserve">سعد عبدالله سعد عثمان </t>
  </si>
  <si>
    <t>سعيد عبدالله سعد سعيد</t>
  </si>
  <si>
    <t>سعيد عبدالعزيز عبدالله خميس</t>
  </si>
  <si>
    <t xml:space="preserve">سعيد فائز حاهر سويد </t>
  </si>
  <si>
    <t>كتبة الاسم / فاطمة تاني علي</t>
  </si>
  <si>
    <t>الصف /الثامن</t>
  </si>
  <si>
    <t xml:space="preserve">سيف أحمد دوهرهين أحمد </t>
  </si>
  <si>
    <t>سالمين رائد مبارك بلوك</t>
  </si>
  <si>
    <t>سليم سعد خميس موسي</t>
  </si>
  <si>
    <t>سالم صالح عبدالله أحمد</t>
  </si>
  <si>
    <t>سالم سعيد عبدالقادر فرج</t>
  </si>
  <si>
    <t>عمار عادل علي مسلم</t>
  </si>
  <si>
    <t xml:space="preserve">عمار صالح عامر أحمد </t>
  </si>
  <si>
    <t>عمر عبدالباري مبارك علي</t>
  </si>
  <si>
    <t>عامر علي عامر أحمد</t>
  </si>
  <si>
    <t>عامر أحمد مبارك عامر</t>
  </si>
  <si>
    <t>عبدالرحيم أحمد سعد طاحس</t>
  </si>
  <si>
    <t xml:space="preserve">عبدالواسع سالم سونهين عبدالله </t>
  </si>
  <si>
    <t xml:space="preserve">عيسي سعيد علي عمر </t>
  </si>
  <si>
    <t>عيسي يحيي أحمد موسي</t>
  </si>
  <si>
    <t xml:space="preserve">علي أحمد عيسي علي </t>
  </si>
  <si>
    <t>عثمان محمد عثمان سالم</t>
  </si>
  <si>
    <t xml:space="preserve">عبدالله خالد مبارك عامر </t>
  </si>
  <si>
    <t xml:space="preserve">عبدالله أحمد علي عامر </t>
  </si>
  <si>
    <t>محمد عبدالغني ناصر عبدالله</t>
  </si>
  <si>
    <t xml:space="preserve">محمد موسي يحي موسي </t>
  </si>
  <si>
    <t xml:space="preserve">محمد بشير عبدالغني فضل </t>
  </si>
  <si>
    <t>محمد سالم أحمد خميس</t>
  </si>
  <si>
    <t xml:space="preserve">نجيب عمر جمعان صالح </t>
  </si>
  <si>
    <t>حسني مصطفي مبارك بلوك</t>
  </si>
  <si>
    <t xml:space="preserve">يوسف عيسي سعد زكنان </t>
  </si>
  <si>
    <t xml:space="preserve">أحمد خميس عامر قيهان </t>
  </si>
  <si>
    <t>راسب</t>
  </si>
  <si>
    <t>علي خميس سعد خميس</t>
  </si>
  <si>
    <t>كتبة الاسم /انهار يحيي عيسي</t>
  </si>
  <si>
    <t>كتبة الاسم /أنهار يحيي عيسي</t>
  </si>
  <si>
    <t>أيمان محمد سعيد أحمد</t>
  </si>
  <si>
    <t>أزهار محمد أحمد سالم</t>
  </si>
  <si>
    <t>أنتصار نادر محمد يعقوب</t>
  </si>
  <si>
    <t>أريام أحمد سالم شيخان</t>
  </si>
  <si>
    <t xml:space="preserve">أوزان عمار عبده علي </t>
  </si>
  <si>
    <t>أنهار خميس علي محمد</t>
  </si>
  <si>
    <t>أماني علي عمر حسن</t>
  </si>
  <si>
    <t>أيمان سعود طاهر  جمعان</t>
  </si>
  <si>
    <t>ازهار علي سعد حسن</t>
  </si>
  <si>
    <t>الزين صالح محمد سالم</t>
  </si>
  <si>
    <t>حنان احمد سالم احمد</t>
  </si>
  <si>
    <t>رغد سعيد سالم سبيت</t>
  </si>
  <si>
    <t>رحاب عمارعبده علي</t>
  </si>
  <si>
    <t>رهف فيصل احمد صعنهان</t>
  </si>
  <si>
    <t>زينة عبدالعزيز علي أحمد</t>
  </si>
  <si>
    <t>زينب عامرعلي موسي</t>
  </si>
  <si>
    <t>سيناء صالح غريب عبدالله</t>
  </si>
  <si>
    <t>شيماء محمد جمعان حمودي</t>
  </si>
  <si>
    <t>صباح محمد احمد موسي</t>
  </si>
  <si>
    <t>غدير فائز جمعان احمد</t>
  </si>
  <si>
    <t>فرح احمد مبارك عيسي</t>
  </si>
  <si>
    <t xml:space="preserve">فاطمة عيسي سالم أحمد </t>
  </si>
  <si>
    <t>فاطمة أحمد مبارك عيسي</t>
  </si>
  <si>
    <t>كفاية سهيل ربيع مرجا ن</t>
  </si>
  <si>
    <t xml:space="preserve">ليلى عيسيى تاني سالم  </t>
  </si>
  <si>
    <t xml:space="preserve">لوزة عيسي سالم علي </t>
  </si>
  <si>
    <t xml:space="preserve">مهرة فهد سالم سعد </t>
  </si>
  <si>
    <t xml:space="preserve">مهاء أمير سعيد أحمد </t>
  </si>
  <si>
    <t xml:space="preserve">مارينا محمد علي عبدالله </t>
  </si>
  <si>
    <t xml:space="preserve">مريم عبدالله عيسي عباس </t>
  </si>
  <si>
    <t xml:space="preserve">مكة علي طالب حسن </t>
  </si>
  <si>
    <t xml:space="preserve">مريم فكري عمرين بشير </t>
  </si>
  <si>
    <t xml:space="preserve">نور سند عدنان أحمد </t>
  </si>
  <si>
    <t>نادين عامر أحمد محمد</t>
  </si>
  <si>
    <t xml:space="preserve">نبيلة نبيل حجاج دارى </t>
  </si>
  <si>
    <t xml:space="preserve">نجاح عثمان عبدالله راشد </t>
  </si>
  <si>
    <t>هيفاء عبدالله سعد سعيد</t>
  </si>
  <si>
    <t xml:space="preserve">هنادي فهمي قيهان عامر </t>
  </si>
  <si>
    <t xml:space="preserve">هاجر عيسي أحمد عيسي </t>
  </si>
  <si>
    <t>أرسلان سعد محمد سعد</t>
  </si>
  <si>
    <t>حديد علي عيسي سعد</t>
  </si>
  <si>
    <t>خميس نعمان أحمد مبارك</t>
  </si>
  <si>
    <t>حسن عيسي أحمد خاتم</t>
  </si>
  <si>
    <t xml:space="preserve">سليمان ياسر سليمان خميس </t>
  </si>
  <si>
    <t>سلمان علي سعد حسن</t>
  </si>
  <si>
    <t>سلطان تاني علي عيسي</t>
  </si>
  <si>
    <t>شعيب جمعان سبيت ربيع</t>
  </si>
  <si>
    <t>رعد عدنان محمد شيباني</t>
  </si>
  <si>
    <t>زياد رياض جمعان سعد</t>
  </si>
  <si>
    <t xml:space="preserve">طارق نبيل عدنان أحمد </t>
  </si>
  <si>
    <t>عمار علي محفوظ علي</t>
  </si>
  <si>
    <t>عمر عبدالعزيز محمد سالمين</t>
  </si>
  <si>
    <t>علي ناطم علي شائف</t>
  </si>
  <si>
    <t>عبدالله صبري ياسين باحميد</t>
  </si>
  <si>
    <t>عمران غانم سعد سعيد</t>
  </si>
  <si>
    <t>حسن عبدالله سعد الحرازي</t>
  </si>
  <si>
    <t>راشد حاج جمعان مبارك</t>
  </si>
  <si>
    <t xml:space="preserve">سلطان محمد تاني سليمان </t>
  </si>
  <si>
    <t>سلمان أبراهيم أحمد عبدالله</t>
  </si>
  <si>
    <t>علي محمد علي محمد</t>
  </si>
  <si>
    <t>علي أحمد سالم صروالي</t>
  </si>
  <si>
    <t>علي فهد عيسي عامر</t>
  </si>
  <si>
    <t>فيزان زاهر فيزان محمد</t>
  </si>
  <si>
    <t>عبدالله سالم سونهين عبدالله</t>
  </si>
  <si>
    <t xml:space="preserve">عوض أنيس هادف عوض </t>
  </si>
  <si>
    <t>عبدالباري سعد عيسي عامر</t>
  </si>
  <si>
    <t xml:space="preserve">محمد حافظ هيبة فتني </t>
  </si>
  <si>
    <t>مبارك رمزي أحمد موسي</t>
  </si>
  <si>
    <t>محمد صبري خميس سليمان</t>
  </si>
  <si>
    <t>عبدالغني راغب عبدالغني ناصر</t>
  </si>
  <si>
    <t>ليان نصر علي عبدالله القعود</t>
  </si>
  <si>
    <t>سحر أرسلان محمد سعد</t>
  </si>
  <si>
    <t>رشاء علي سعد سليمان</t>
  </si>
  <si>
    <t>سلمى عدنان عيسي أحمد</t>
  </si>
  <si>
    <t>ملاك مازن خميس محمد</t>
  </si>
  <si>
    <t xml:space="preserve">روضة عوض مسلم عبدلله </t>
  </si>
  <si>
    <t>أماني أحمد سالم أحمد</t>
  </si>
  <si>
    <t>حفيظة عمر جمعان صالح</t>
  </si>
  <si>
    <t>ناموس علي عامر أحمد</t>
  </si>
  <si>
    <t>ناموس وجدي سعيد عبدالرزاق</t>
  </si>
  <si>
    <t>عائشة عبدالكريم أحمد محمد</t>
  </si>
  <si>
    <t>رهف علي سعيد سالم</t>
  </si>
  <si>
    <t>حليمة غانم سالم هلال</t>
  </si>
  <si>
    <t>ماجدة صبري سعيد سليمان</t>
  </si>
  <si>
    <t>ملكة أحمد سعيد أحمد</t>
  </si>
  <si>
    <t>أزدهار محمد أحمد سالم</t>
  </si>
  <si>
    <t>مريم علي سعيد أحمد</t>
  </si>
  <si>
    <t xml:space="preserve">زينة أحمد سعيد أحمد </t>
  </si>
  <si>
    <t xml:space="preserve">أنهار فهمي قيهان  عامر </t>
  </si>
  <si>
    <t>صنعاء خالد سعد عثمان</t>
  </si>
  <si>
    <t>سعدة عمر سالم سعد</t>
  </si>
  <si>
    <t>أفنان فهد عبدالله محمد سعيد</t>
  </si>
  <si>
    <t>كشف رقم (        2     )</t>
  </si>
  <si>
    <t>التانية</t>
  </si>
  <si>
    <t>كشف رقم (   1        )</t>
  </si>
  <si>
    <t xml:space="preserve">دارين محمد علي عبدالله </t>
  </si>
  <si>
    <t>روئ عامر علي موسي</t>
  </si>
  <si>
    <t xml:space="preserve"> رباب صالح غريب عبدالله </t>
  </si>
  <si>
    <t>سمية عمار سعيد نصيب</t>
  </si>
  <si>
    <t>الشعبة(  التانية             )</t>
  </si>
  <si>
    <t>كشف رقم (      2     )</t>
  </si>
  <si>
    <t>الشعبة(    الثانية           )</t>
  </si>
  <si>
    <t>كشف رقم (   3        )</t>
  </si>
  <si>
    <t>أرجوان سليمان أحمد جيلان</t>
  </si>
  <si>
    <t>كتبة الاسم / أيناس عبيد علي حيدره</t>
  </si>
  <si>
    <t>الشعبة(    الثانية     )</t>
  </si>
  <si>
    <t>كشف رقم ( 4       )</t>
  </si>
  <si>
    <t>كشف رقم (    3       )</t>
  </si>
  <si>
    <t>كشف رقم (   2       )</t>
  </si>
  <si>
    <t xml:space="preserve">أبرار فاضل ايهور جمعان </t>
  </si>
  <si>
    <t>أحلام بدر سعد طاحس</t>
  </si>
  <si>
    <t>كتبة الاسم /أنتصار عثمان أحمد</t>
  </si>
  <si>
    <t>كتبة الاسم / أنتصار عثمان أحمد</t>
  </si>
  <si>
    <t>أزهار سالم عبدالله حسن</t>
  </si>
  <si>
    <t>أسماء أحمد سعد طاحس</t>
  </si>
  <si>
    <t>أسماء سالم فرج سالم</t>
  </si>
  <si>
    <t xml:space="preserve">أماني جمعان سعيد عبدالله </t>
  </si>
  <si>
    <t>أمل سعد سعيد الفان</t>
  </si>
  <si>
    <t>أمينة علي أحمد طواش</t>
  </si>
  <si>
    <t>أيمان أحمد حسين أحمد</t>
  </si>
  <si>
    <t>أيمان عبدالحبيب عثمان سالم</t>
  </si>
  <si>
    <t>أمل عبدالله عامر سعد</t>
  </si>
  <si>
    <t>براءة عبدالله علي عبدالله</t>
  </si>
  <si>
    <t>بلقيس محمد مبارك  سعيد</t>
  </si>
  <si>
    <t>حمة عمر عبدالصافي عبيد</t>
  </si>
  <si>
    <t>خديجة أبراهيم  سالم سليمان</t>
  </si>
  <si>
    <t>خلود عبدالله خميس سعد</t>
  </si>
  <si>
    <t>خلود عثمان أحمد عيسي</t>
  </si>
  <si>
    <t xml:space="preserve">خولة عثمان أحمد عيسي </t>
  </si>
  <si>
    <t>خديجة عبدالله عامر سعد</t>
  </si>
  <si>
    <t xml:space="preserve">دعاء نوح أدهم علي </t>
  </si>
  <si>
    <t xml:space="preserve">رهف خميس سليمان قيهان </t>
  </si>
  <si>
    <t xml:space="preserve">روان عمر سعد عمر </t>
  </si>
  <si>
    <t xml:space="preserve">زينب أحمد سعيد محمد </t>
  </si>
  <si>
    <t xml:space="preserve">سلمى جمعان سبيت ربيع </t>
  </si>
  <si>
    <t xml:space="preserve">صفاء خالد دحلقه علي </t>
  </si>
  <si>
    <t xml:space="preserve">عبير سالم سونهين عبدالله </t>
  </si>
  <si>
    <t xml:space="preserve">ليلي مبارك حديد سعد </t>
  </si>
  <si>
    <t xml:space="preserve">مريم علي عبدالله سعيد </t>
  </si>
  <si>
    <t xml:space="preserve">ميسون عدنان أحمد عامر </t>
  </si>
  <si>
    <t xml:space="preserve">نوال دوعهن عبدالله دوعهن </t>
  </si>
  <si>
    <t>سمية موسي عيسي طاحس</t>
  </si>
  <si>
    <t>الشعبة(   االثانية      )</t>
  </si>
  <si>
    <t>الشعبة(  الثانية        )</t>
  </si>
  <si>
    <t>كشف رقم (   1       )</t>
  </si>
  <si>
    <t>الشعبة(    ألاولى       )</t>
  </si>
  <si>
    <t>الشعبة(   الثانية       )</t>
  </si>
  <si>
    <t>كشف رقم (   4       )</t>
  </si>
  <si>
    <t>كشف رقم/ (    1       )</t>
  </si>
  <si>
    <t>الشعبة /   (    ألاولى   )</t>
  </si>
  <si>
    <t>كتبة /الاسم/ أخلاص جمعان فرحان</t>
  </si>
  <si>
    <t>كتبة / الاسم / أخلاص جمعان فرحان</t>
  </si>
  <si>
    <t>كتبة الاسم / أنهار يحيي عيسي</t>
  </si>
  <si>
    <t xml:space="preserve"> انيسة انيس سالمين رجب</t>
  </si>
  <si>
    <t>رقية عادل جمعان سعد</t>
  </si>
  <si>
    <t xml:space="preserve">رهف عبدالعليم عبدالله </t>
  </si>
  <si>
    <t xml:space="preserve">سارة تاني أحمد علي </t>
  </si>
  <si>
    <t xml:space="preserve">عائشة  عيسي سالم أحمد </t>
  </si>
  <si>
    <t>مهاء نبيل حجاج داري</t>
  </si>
  <si>
    <t>مغربية علي سالم صالح</t>
  </si>
  <si>
    <t>الصف الثاني</t>
  </si>
  <si>
    <t>الثانية</t>
  </si>
  <si>
    <t>وسلة عيسي قعمور مبارك</t>
  </si>
  <si>
    <t>خميس عبدالكريم محفوظ سالم</t>
  </si>
  <si>
    <t xml:space="preserve">روان مهدي فرج مبارك </t>
  </si>
  <si>
    <t xml:space="preserve">محمد عبدالباسط سعيد مبارك </t>
  </si>
  <si>
    <t>سهالة عبدالمجيد محمد مبارك</t>
  </si>
  <si>
    <t>فاطمة علي محمد احمد</t>
  </si>
  <si>
    <t>عائشة شاكر علي موسئ</t>
  </si>
  <si>
    <t>أحمد محمد احمد علصص</t>
  </si>
  <si>
    <t>علي مصطفئ مبارك بلوك</t>
  </si>
  <si>
    <t>علي سامي علي قيهان</t>
  </si>
  <si>
    <t>هيام هاني قيطان طيموك</t>
  </si>
  <si>
    <t xml:space="preserve">ايمان محمد معاذ دوعهن </t>
  </si>
  <si>
    <t xml:space="preserve">أوصاف حيدروه موسي سليم </t>
  </si>
  <si>
    <t xml:space="preserve">شيماء عبدالله سالم محمد </t>
  </si>
  <si>
    <t>مريم سعيد يعقوب سعد</t>
  </si>
  <si>
    <t>الهام غانم سعيد سعد</t>
  </si>
  <si>
    <t>المديرية حديبوة</t>
  </si>
  <si>
    <t xml:space="preserve"> القرآن الكريم</t>
  </si>
  <si>
    <t>القرآن الكريم</t>
  </si>
  <si>
    <t>مكتب التربية والتعليم</t>
  </si>
  <si>
    <t>مــحافـــظة أرخبيل سقطرى</t>
  </si>
  <si>
    <t>الفصل الثاني</t>
  </si>
  <si>
    <t>الاسم / سعد سعيد احمد</t>
  </si>
  <si>
    <t>الاسم / فؤاد علي سعيد</t>
  </si>
  <si>
    <t>كشف رقم (    2     )</t>
  </si>
  <si>
    <t>الاسم /  فؤاد علي سعيد</t>
  </si>
  <si>
    <t>راجعه الاسم / ________________</t>
  </si>
  <si>
    <t xml:space="preserve">           </t>
  </si>
  <si>
    <t xml:space="preserve">مدير المدرسة </t>
  </si>
  <si>
    <t xml:space="preserve">اسم التلميذ / التلميذة </t>
  </si>
  <si>
    <t>رباعياً مع اللقب</t>
  </si>
  <si>
    <r>
      <t>أ</t>
    </r>
    <r>
      <rPr>
        <b/>
        <sz val="12"/>
        <color theme="1"/>
        <rFont val="Arial"/>
        <family val="2"/>
        <scheme val="minor"/>
      </rPr>
      <t>خلاص أبراهيم  عامر عيسي</t>
    </r>
  </si>
  <si>
    <t>جمعان محمد جمعان مكندو</t>
  </si>
  <si>
    <t>علي خالد علي صروالي</t>
  </si>
  <si>
    <t>عبدالهادي راغب عبدالغني ناصر</t>
  </si>
  <si>
    <t xml:space="preserve">محمد عبدالخالق غيثان محمد </t>
  </si>
  <si>
    <t>خولة عبدالوحيد أبراهيم دهبول</t>
  </si>
  <si>
    <t>عائشة عمر عبدالصافي عبيد</t>
  </si>
  <si>
    <t>عائشة توجهات جمعان مبارك</t>
  </si>
  <si>
    <t xml:space="preserve">ميمونة إيهاب يحيي أحمد </t>
  </si>
  <si>
    <t>سلمى زكي عقيل علي</t>
  </si>
  <si>
    <t>عفاف أحمد سالم صالح</t>
  </si>
  <si>
    <t>كشف رصد درجات أعمال السنة واختبار النقل في مرحلة التعليم الأساسي  الصف ( الأول -الثامن ) العام الدراسي 2024م / 2025م</t>
  </si>
  <si>
    <t xml:space="preserve">شفاء أحمد دريهن أحمد </t>
  </si>
  <si>
    <t>نائف وجدان سالم عبيد</t>
  </si>
  <si>
    <t>منصر راشد جمعان مبارك</t>
  </si>
  <si>
    <t>عبدالرحمن تالي عبدالله علي</t>
  </si>
  <si>
    <t>عبدالرحمن عبدالله سعد عثمان</t>
  </si>
  <si>
    <t>علي عبدالرحمن سالم قيهان</t>
  </si>
  <si>
    <t>أزهار عبدالرحمن سعد صروالي</t>
  </si>
  <si>
    <t>امنة سعيد مبارك حمود</t>
  </si>
  <si>
    <t xml:space="preserve">رناء عبدالرحمن محمد سعيد </t>
  </si>
  <si>
    <t xml:space="preserve">مريم أحمد عبدالرحمن علي </t>
  </si>
  <si>
    <t>وردة عمر سعد جمعان</t>
  </si>
  <si>
    <t>الجمهورية اليمنية</t>
  </si>
  <si>
    <t xml:space="preserve">عبدالرحمن سعد جمعان ناصر </t>
  </si>
  <si>
    <t xml:space="preserve">عبدالرحمن  محمد علي أحمد </t>
  </si>
  <si>
    <t>أمنة عبدالحليم ناصر سالمين</t>
  </si>
  <si>
    <t>حلا أنور خميس علي</t>
  </si>
  <si>
    <t>حلا عيسي سعد زكنان</t>
  </si>
  <si>
    <t>سعيدة عبدالرحمن عثمان احمد</t>
  </si>
  <si>
    <t xml:space="preserve">سوهاني عبدالرحمن أحمد عامر </t>
  </si>
  <si>
    <t xml:space="preserve">ياسمين عبدالرحمن محمد علي </t>
  </si>
  <si>
    <t xml:space="preserve">أسامة أيمن سعيد حسين </t>
  </si>
  <si>
    <t xml:space="preserve">أيمن صالح تاني  أحمد </t>
  </si>
  <si>
    <t xml:space="preserve">خميس منصر خميس عبدالله </t>
  </si>
  <si>
    <t xml:space="preserve">عبدالرحمن خالد مبارك عامر </t>
  </si>
  <si>
    <t>محمود عبدالعزيز سعيد طيموك</t>
  </si>
  <si>
    <t>محمد عبدالرحمن سالم قيهان</t>
  </si>
  <si>
    <t>أزهار أحمد  عبدالله أحمد</t>
  </si>
  <si>
    <t>بقيلة أحمد سالم صروالي</t>
  </si>
  <si>
    <t xml:space="preserve">سهام عبدالرحمن سعد صروالي </t>
  </si>
  <si>
    <t>شيماء منير سعد علي</t>
  </si>
  <si>
    <t xml:space="preserve">عائشة علي عبدالله سعد </t>
  </si>
  <si>
    <t xml:space="preserve">عدراء عبدالرحمن سعد سالم </t>
  </si>
  <si>
    <t xml:space="preserve">فاطمة علي خميس جمعان </t>
  </si>
  <si>
    <t>الشعبة(   الثانية         )</t>
  </si>
  <si>
    <t>الشعبة(  الثانية           )</t>
  </si>
  <si>
    <t xml:space="preserve">منئ عبدالله سالم محمد </t>
  </si>
  <si>
    <t>كشف رصد درجات أعمال السنة واختبار النقل في مرحلة التعليم الأساسي  الصف ( التاسع ) العام الدراسي 2024م / 2025م</t>
  </si>
  <si>
    <t>الشعبة( الثانية        )</t>
  </si>
  <si>
    <t>كشف رقم (    4       )</t>
  </si>
  <si>
    <t>أيمن عبدالخالق غيثان محمد</t>
  </si>
  <si>
    <t>أيمن عبدالله سالم عبدالله</t>
  </si>
  <si>
    <t>عبدالله أحمد سالم صروالي</t>
  </si>
  <si>
    <t>مندر محمد عمرين بشير</t>
  </si>
  <si>
    <t>محمد صالح عامر أحمد</t>
  </si>
  <si>
    <t>محمد منصور حسن علي</t>
  </si>
  <si>
    <t xml:space="preserve">أحلام سعيد حيسن محمد </t>
  </si>
  <si>
    <t xml:space="preserve">جواهر عوض مسالم هلال </t>
  </si>
  <si>
    <t xml:space="preserve">ريم عبدالمنعم سالم سبيت </t>
  </si>
  <si>
    <t xml:space="preserve">شروق منير سعد علي </t>
  </si>
  <si>
    <t xml:space="preserve">مهاء منصر خميس عبدالله </t>
  </si>
  <si>
    <t xml:space="preserve">منى سالم جمعان أحمد </t>
  </si>
  <si>
    <t xml:space="preserve">منار إسحاق محمد موسي </t>
  </si>
  <si>
    <t>مريم سعد جمعان ناصر</t>
  </si>
  <si>
    <t xml:space="preserve">ندي عامر سالم علي </t>
  </si>
  <si>
    <t xml:space="preserve">                             </t>
  </si>
  <si>
    <t xml:space="preserve">الصف /الثامن </t>
  </si>
  <si>
    <t>الشعبة(    الاولى    )</t>
  </si>
  <si>
    <t>كشف رقم ( 1       )</t>
  </si>
  <si>
    <t xml:space="preserve">رشيدة فهمي راشد محمد </t>
  </si>
  <si>
    <t xml:space="preserve">زينة سعيد الفان علي </t>
  </si>
  <si>
    <t>زينة عدنان عيسي أحمد</t>
  </si>
  <si>
    <t xml:space="preserve">زينة محمد أحمد سعيد </t>
  </si>
  <si>
    <t xml:space="preserve">سارة أحمد علي عبدالله </t>
  </si>
  <si>
    <t xml:space="preserve">سارة محمد سعد سالم </t>
  </si>
  <si>
    <t>سليمة أبرهيم أحمد عبدالله</t>
  </si>
  <si>
    <t xml:space="preserve">سليمة علي خميس جمعان </t>
  </si>
  <si>
    <t xml:space="preserve">سمية عيسى سالم احمد </t>
  </si>
  <si>
    <t>شيخة العوزكي رجب محمد</t>
  </si>
  <si>
    <t xml:space="preserve">صالحة علي محمد علي </t>
  </si>
  <si>
    <t>طمة ناظر سالم صروالي</t>
  </si>
  <si>
    <t xml:space="preserve">طمة عبدالوحيد أبراهيم دهبول </t>
  </si>
  <si>
    <t xml:space="preserve">عائشة محمد أحمد سعيد </t>
  </si>
  <si>
    <t xml:space="preserve">غالية سعيد سالم سليمان </t>
  </si>
  <si>
    <t xml:space="preserve">فاطمة سعيد سالم سليمان </t>
  </si>
  <si>
    <t xml:space="preserve">فاطمة عيسي علي عبدالله </t>
  </si>
  <si>
    <t xml:space="preserve">فاطمة محمد أحمد علصاص </t>
  </si>
  <si>
    <t xml:space="preserve">مهرة خاتم حسين سعيد </t>
  </si>
  <si>
    <t xml:space="preserve">نورة سليم علي عامر </t>
  </si>
  <si>
    <t xml:space="preserve">نورة زهير سعد عامر </t>
  </si>
  <si>
    <t xml:space="preserve">نظرة تاني عبدالله سعد </t>
  </si>
  <si>
    <t xml:space="preserve">ماجدة عبدالله سعيد جمعان </t>
  </si>
  <si>
    <t xml:space="preserve">لؤلة وحيد صالح عبدالله </t>
  </si>
  <si>
    <t xml:space="preserve">فردوس فهد محمد عثمان </t>
  </si>
  <si>
    <t>علاء سامي علي قيهان</t>
  </si>
  <si>
    <t>كتبة الاسم /انهار  يحيي عيسي</t>
  </si>
  <si>
    <t>علي بدر شوقر سالم عامر</t>
  </si>
  <si>
    <t xml:space="preserve">ادهم رائد مبارك بلوك </t>
  </si>
  <si>
    <t xml:space="preserve">حسين يحيى محمد سالم </t>
  </si>
  <si>
    <t>ميحد صالح بدوي قسقس</t>
  </si>
  <si>
    <t xml:space="preserve">ياسر عرفات عبدالله احمد </t>
  </si>
  <si>
    <t>الصف / السابع</t>
  </si>
  <si>
    <t xml:space="preserve">مانعة فهد علي مبارك </t>
  </si>
  <si>
    <t xml:space="preserve">نور علي عمر حسن </t>
  </si>
  <si>
    <t xml:space="preserve">نورة بركات سالم سبيت </t>
  </si>
  <si>
    <t>نائف معاذ سعد سالم</t>
  </si>
  <si>
    <t>نورة حسني علي مقدم</t>
  </si>
  <si>
    <t xml:space="preserve">امنة ياسر سليمان خميس </t>
  </si>
  <si>
    <t xml:space="preserve">أمينة عيسي أحمد بشير </t>
  </si>
  <si>
    <t>جميلة محمد أحمد علصاص</t>
  </si>
  <si>
    <t xml:space="preserve">حليمة محمد سالم أحمد </t>
  </si>
  <si>
    <t xml:space="preserve">حورية عبدالله علي عبدالله </t>
  </si>
  <si>
    <t xml:space="preserve">خولة احمد سالم محمد </t>
  </si>
  <si>
    <t xml:space="preserve">خديجة بخيت مبارك عبدالله </t>
  </si>
  <si>
    <t xml:space="preserve">زهرة فهمي سعيد سليمان </t>
  </si>
  <si>
    <t xml:space="preserve">شيخة عائد سالم راشد </t>
  </si>
  <si>
    <t xml:space="preserve">صفية أحمد جمعان سعد </t>
  </si>
  <si>
    <t xml:space="preserve">عونة أحمد سعيد أحمد </t>
  </si>
  <si>
    <t xml:space="preserve">عائشة منير علي دواعهان </t>
  </si>
  <si>
    <t>عائشة أحمد سالم محمد</t>
  </si>
  <si>
    <t xml:space="preserve">عائشة علي أحمد حمودي </t>
  </si>
  <si>
    <t xml:space="preserve">فاطمة عبدالعزيز مبارك سعيد  </t>
  </si>
  <si>
    <t xml:space="preserve">فاطمة علي محمد موسي </t>
  </si>
  <si>
    <t xml:space="preserve">فاطمة عبدالله سعد عتمان </t>
  </si>
  <si>
    <t xml:space="preserve">منية بخيت مبارك عبدالله </t>
  </si>
  <si>
    <t xml:space="preserve">نهلة عصام سالم سبيت </t>
  </si>
  <si>
    <t xml:space="preserve">نبيهة عارف حمودي يعقوب </t>
  </si>
  <si>
    <t xml:space="preserve">عبير فهد محمد عثمان </t>
  </si>
  <si>
    <t>ريحان صادق ريحان خميس</t>
  </si>
  <si>
    <t xml:space="preserve">سونيا سالم عيدروس أحمد </t>
  </si>
  <si>
    <t xml:space="preserve">سهام ابراهيم عامر عيسي </t>
  </si>
  <si>
    <t xml:space="preserve">أنس عبدالرحمن سعد صروالي </t>
  </si>
  <si>
    <t xml:space="preserve">عبدالرحمن سعد عيسي عامر </t>
  </si>
  <si>
    <t xml:space="preserve">يوسف أحمد عبدالرحمن علي </t>
  </si>
  <si>
    <t xml:space="preserve">رشيد علي راشد مرجان </t>
  </si>
  <si>
    <t xml:space="preserve">زياد ثابت خميس سليمان </t>
  </si>
  <si>
    <t xml:space="preserve">سالمين أنيس سالمين رجب </t>
  </si>
  <si>
    <t>صبري عثمان عبدالله راشد</t>
  </si>
  <si>
    <t xml:space="preserve">عبد الرؤوف سعد عبدالله حمودي </t>
  </si>
  <si>
    <t>محمد عبدالمنعم سالم سبيت</t>
  </si>
  <si>
    <t>ماجد  صبري سعيد خميس</t>
  </si>
  <si>
    <t xml:space="preserve">أمل غانم سعيد سعد </t>
  </si>
  <si>
    <t>امنة موسي أحمد موسي</t>
  </si>
  <si>
    <t>جواخ عبدالرحمن عثمان بشير</t>
  </si>
  <si>
    <t>حليمة سليمان علي عامر</t>
  </si>
  <si>
    <t>خليلة مبارك مبارك سعيد احمد</t>
  </si>
  <si>
    <t>خديخة مشتاق محمد خليفه</t>
  </si>
  <si>
    <t>خديخة عيسي علي سعيد</t>
  </si>
  <si>
    <t>خولة سعد حميدهن حماد</t>
  </si>
  <si>
    <t>زينة عامر احمدعلي احمد</t>
  </si>
  <si>
    <t>سمية سعيد مبارك سعيد</t>
  </si>
  <si>
    <t>شيخة سالم سبيت احمد</t>
  </si>
  <si>
    <t>طمة عبد العالم غريب عبدالله</t>
  </si>
  <si>
    <t xml:space="preserve">عائشة محمد عمرين بشير </t>
  </si>
  <si>
    <t xml:space="preserve">عائشة عيسي احمد بشير </t>
  </si>
  <si>
    <t xml:space="preserve">عائدة موسي مبارك عيسي </t>
  </si>
  <si>
    <t>غالية فائز سعود ناصر</t>
  </si>
  <si>
    <t>فاطمة هلال خميس سعد</t>
  </si>
  <si>
    <t>فاطمة عدنان مبارك سعيد</t>
  </si>
  <si>
    <t xml:space="preserve">لؤلوة أحمد رمضان سعيد </t>
  </si>
  <si>
    <t xml:space="preserve">منى عبدالعزيز محمد سالمين </t>
  </si>
  <si>
    <t xml:space="preserve">مؤمنين أحمد رمضان سعيد </t>
  </si>
  <si>
    <t xml:space="preserve">نصرة محمد أحمد طواش </t>
  </si>
  <si>
    <t xml:space="preserve">عبدالله علي سعد حسن </t>
  </si>
  <si>
    <t xml:space="preserve">تركي تالي عيسي طاحس </t>
  </si>
  <si>
    <t>سلامة خميس عوض بريك</t>
  </si>
  <si>
    <t>عازم تالي احمد علي</t>
  </si>
  <si>
    <t>عبده علي شوعي بدوي</t>
  </si>
  <si>
    <t xml:space="preserve">ميمونة مبارك يحيى محمد </t>
  </si>
  <si>
    <t>سامية أنور محمد سعد</t>
  </si>
  <si>
    <t xml:space="preserve">يونس عارف حمود مبارك </t>
  </si>
  <si>
    <t>سهى عيسي احمد خاتم</t>
  </si>
  <si>
    <t xml:space="preserve">الصف التاسع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</si>
</sst>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right"/>
    </xf>
    <xf numFmtId="0" fontId="7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top" textRotation="90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2" borderId="0" xfId="0" applyFont="1" applyFill="1"/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vertical="top" textRotation="90"/>
    </xf>
    <xf numFmtId="0" fontId="5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center" vertical="center" textRotation="90"/>
    </xf>
    <xf numFmtId="0" fontId="6" fillId="3" borderId="6" xfId="0" applyFont="1" applyFill="1" applyBorder="1" applyAlignment="1">
      <alignment horizontal="center" vertical="center" textRotation="90"/>
    </xf>
    <xf numFmtId="0" fontId="6" fillId="3" borderId="7" xfId="0" applyFont="1" applyFill="1" applyBorder="1" applyAlignment="1">
      <alignment horizontal="center" vertical="center" textRotation="90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textRotation="90"/>
    </xf>
    <xf numFmtId="0" fontId="4" fillId="3" borderId="6" xfId="0" applyFont="1" applyFill="1" applyBorder="1" applyAlignment="1">
      <alignment horizontal="center" vertical="center" textRotation="90"/>
    </xf>
    <xf numFmtId="0" fontId="4" fillId="3" borderId="7" xfId="0" applyFont="1" applyFill="1" applyBorder="1" applyAlignment="1">
      <alignment horizontal="center" vertical="center" textRotation="90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50800</xdr:colOff>
      <xdr:row>1</xdr:row>
      <xdr:rowOff>68580</xdr:rowOff>
    </xdr:from>
    <xdr:to>
      <xdr:col>18</xdr:col>
      <xdr:colOff>129540</xdr:colOff>
      <xdr:row>4</xdr:row>
      <xdr:rowOff>83820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489ED29F-05C7-3956-C443-DB997A506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103960" y="271780"/>
          <a:ext cx="2225040" cy="624840"/>
        </a:xfrm>
        <a:prstGeom prst="rect">
          <a:avLst/>
        </a:prstGeom>
      </xdr:spPr>
    </xdr:pic>
    <xdr:clientData/>
  </xdr:twoCellAnchor>
  <xdr:twoCellAnchor editAs="oneCell">
    <xdr:from>
      <xdr:col>9</xdr:col>
      <xdr:colOff>91439</xdr:colOff>
      <xdr:row>35</xdr:row>
      <xdr:rowOff>43180</xdr:rowOff>
    </xdr:from>
    <xdr:to>
      <xdr:col>16</xdr:col>
      <xdr:colOff>266699</xdr:colOff>
      <xdr:row>38</xdr:row>
      <xdr:rowOff>55880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20306861-D078-4C6E-8997-00ABA0977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398601" y="7205980"/>
          <a:ext cx="2423160" cy="622300"/>
        </a:xfrm>
        <a:prstGeom prst="rect">
          <a:avLst/>
        </a:prstGeom>
      </xdr:spPr>
    </xdr:pic>
    <xdr:clientData/>
  </xdr:twoCellAnchor>
  <xdr:twoCellAnchor editAs="oneCell">
    <xdr:from>
      <xdr:col>10</xdr:col>
      <xdr:colOff>76199</xdr:colOff>
      <xdr:row>70</xdr:row>
      <xdr:rowOff>60960</xdr:rowOff>
    </xdr:from>
    <xdr:to>
      <xdr:col>17</xdr:col>
      <xdr:colOff>101599</xdr:colOff>
      <xdr:row>73</xdr:row>
      <xdr:rowOff>76200</xdr:rowOff>
    </xdr:to>
    <xdr:pic>
      <xdr:nvPicPr>
        <xdr:cNvPr id="12" name="صورة 11">
          <a:extLst>
            <a:ext uri="{FF2B5EF4-FFF2-40B4-BE49-F238E27FC236}">
              <a16:creationId xmlns:a16="http://schemas.microsoft.com/office/drawing/2014/main" id="{EDAC86E8-094F-423D-B967-ABB67312D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309701" y="14780260"/>
          <a:ext cx="2311400" cy="624840"/>
        </a:xfrm>
        <a:prstGeom prst="rect">
          <a:avLst/>
        </a:prstGeom>
      </xdr:spPr>
    </xdr:pic>
    <xdr:clientData/>
  </xdr:twoCellAnchor>
  <xdr:twoCellAnchor editAs="oneCell">
    <xdr:from>
      <xdr:col>10</xdr:col>
      <xdr:colOff>83819</xdr:colOff>
      <xdr:row>104</xdr:row>
      <xdr:rowOff>63500</xdr:rowOff>
    </xdr:from>
    <xdr:to>
      <xdr:col>16</xdr:col>
      <xdr:colOff>139699</xdr:colOff>
      <xdr:row>107</xdr:row>
      <xdr:rowOff>78740</xdr:rowOff>
    </xdr:to>
    <xdr:pic>
      <xdr:nvPicPr>
        <xdr:cNvPr id="16" name="صورة 15">
          <a:extLst>
            <a:ext uri="{FF2B5EF4-FFF2-40B4-BE49-F238E27FC236}">
              <a16:creationId xmlns:a16="http://schemas.microsoft.com/office/drawing/2014/main" id="{3295A3F6-2CEE-4890-8A4C-DCB762A93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627201" y="22047200"/>
          <a:ext cx="1986280" cy="624840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63501</xdr:colOff>
      <xdr:row>139</xdr:row>
      <xdr:rowOff>38100</xdr:rowOff>
    </xdr:from>
    <xdr:to>
      <xdr:col>16</xdr:col>
      <xdr:colOff>129540</xdr:colOff>
      <xdr:row>142</xdr:row>
      <xdr:rowOff>53340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DCE58773-749C-4DA2-801A-5DE574F88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637360" y="29476700"/>
          <a:ext cx="1996439" cy="624840"/>
        </a:xfrm>
        <a:prstGeom prst="rect">
          <a:avLst/>
        </a:prstGeom>
      </xdr:spPr>
    </xdr:pic>
    <xdr:clientData/>
  </xdr:twoCellAnchor>
  <xdr:twoCellAnchor editAs="oneCell">
    <xdr:from>
      <xdr:col>10</xdr:col>
      <xdr:colOff>165100</xdr:colOff>
      <xdr:row>174</xdr:row>
      <xdr:rowOff>76200</xdr:rowOff>
    </xdr:from>
    <xdr:to>
      <xdr:col>16</xdr:col>
      <xdr:colOff>246915</xdr:colOff>
      <xdr:row>177</xdr:row>
      <xdr:rowOff>91440</xdr:rowOff>
    </xdr:to>
    <xdr:pic>
      <xdr:nvPicPr>
        <xdr:cNvPr id="21" name="صورة 20">
          <a:extLst>
            <a:ext uri="{FF2B5EF4-FFF2-40B4-BE49-F238E27FC236}">
              <a16:creationId xmlns:a16="http://schemas.microsoft.com/office/drawing/2014/main" id="{F1E80910-3D63-415C-BACF-CAF0996A2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519985" y="36969700"/>
          <a:ext cx="2012215" cy="624840"/>
        </a:xfrm>
        <a:prstGeom prst="rect">
          <a:avLst/>
        </a:prstGeom>
      </xdr:spPr>
    </xdr:pic>
    <xdr:clientData/>
  </xdr:twoCellAnchor>
  <xdr:twoCellAnchor editAs="oneCell">
    <xdr:from>
      <xdr:col>9</xdr:col>
      <xdr:colOff>165100</xdr:colOff>
      <xdr:row>209</xdr:row>
      <xdr:rowOff>76200</xdr:rowOff>
    </xdr:from>
    <xdr:to>
      <xdr:col>16</xdr:col>
      <xdr:colOff>94515</xdr:colOff>
      <xdr:row>212</xdr:row>
      <xdr:rowOff>91440</xdr:rowOff>
    </xdr:to>
    <xdr:pic>
      <xdr:nvPicPr>
        <xdr:cNvPr id="22" name="صورة 21">
          <a:extLst>
            <a:ext uri="{FF2B5EF4-FFF2-40B4-BE49-F238E27FC236}">
              <a16:creationId xmlns:a16="http://schemas.microsoft.com/office/drawing/2014/main" id="{EFF7FCA2-174A-42EF-BD8A-ED280F1B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570785" y="44424600"/>
          <a:ext cx="2177315" cy="624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12701</xdr:colOff>
      <xdr:row>1</xdr:row>
      <xdr:rowOff>34213</xdr:rowOff>
    </xdr:from>
    <xdr:to>
      <xdr:col>16</xdr:col>
      <xdr:colOff>351056</xdr:colOff>
      <xdr:row>4</xdr:row>
      <xdr:rowOff>53340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396FC735-ECEF-1BE9-1B8B-DDFC99CD0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3139744" y="237413"/>
          <a:ext cx="2319555" cy="628727"/>
        </a:xfrm>
        <a:prstGeom prst="rect">
          <a:avLst/>
        </a:prstGeom>
      </xdr:spPr>
    </xdr:pic>
    <xdr:clientData/>
  </xdr:twoCellAnchor>
  <xdr:twoCellAnchor editAs="oneCell">
    <xdr:from>
      <xdr:col>8</xdr:col>
      <xdr:colOff>177800</xdr:colOff>
      <xdr:row>36</xdr:row>
      <xdr:rowOff>60960</xdr:rowOff>
    </xdr:from>
    <xdr:to>
      <xdr:col>16</xdr:col>
      <xdr:colOff>419636</xdr:colOff>
      <xdr:row>39</xdr:row>
      <xdr:rowOff>80087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FFC4CB1-F47C-4EF8-8973-7F3C217AC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3071164" y="8671560"/>
          <a:ext cx="2515136" cy="628727"/>
        </a:xfrm>
        <a:prstGeom prst="rect">
          <a:avLst/>
        </a:prstGeom>
      </xdr:spPr>
    </xdr:pic>
    <xdr:clientData/>
  </xdr:twoCellAnchor>
  <xdr:twoCellAnchor editAs="oneCell">
    <xdr:from>
      <xdr:col>9</xdr:col>
      <xdr:colOff>215900</xdr:colOff>
      <xdr:row>71</xdr:row>
      <xdr:rowOff>38100</xdr:rowOff>
    </xdr:from>
    <xdr:to>
      <xdr:col>16</xdr:col>
      <xdr:colOff>396776</xdr:colOff>
      <xdr:row>74</xdr:row>
      <xdr:rowOff>57227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00CFB822-F0CA-4039-AF53-B0D085BF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3094024" y="16865600"/>
          <a:ext cx="2162076" cy="628727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101600</xdr:colOff>
      <xdr:row>111</xdr:row>
      <xdr:rowOff>45720</xdr:rowOff>
    </xdr:from>
    <xdr:to>
      <xdr:col>16</xdr:col>
      <xdr:colOff>389156</xdr:colOff>
      <xdr:row>114</xdr:row>
      <xdr:rowOff>64847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A8819BB5-65A2-4AB8-90C2-3B37293B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3101644" y="25483820"/>
          <a:ext cx="2027456" cy="628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15241</xdr:colOff>
      <xdr:row>180</xdr:row>
      <xdr:rowOff>85040</xdr:rowOff>
    </xdr:from>
    <xdr:to>
      <xdr:col>18</xdr:col>
      <xdr:colOff>114300</xdr:colOff>
      <xdr:row>183</xdr:row>
      <xdr:rowOff>175260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D281CAC7-A3F3-60CE-162E-F82DACB9C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1100740" y="2981066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</xdr:colOff>
      <xdr:row>285</xdr:row>
      <xdr:rowOff>60960</xdr:rowOff>
    </xdr:from>
    <xdr:to>
      <xdr:col>18</xdr:col>
      <xdr:colOff>60959</xdr:colOff>
      <xdr:row>288</xdr:row>
      <xdr:rowOff>151180</xdr:rowOff>
    </xdr:to>
    <xdr:pic>
      <xdr:nvPicPr>
        <xdr:cNvPr id="8" name="صورة 7">
          <a:extLst>
            <a:ext uri="{FF2B5EF4-FFF2-40B4-BE49-F238E27FC236}">
              <a16:creationId xmlns:a16="http://schemas.microsoft.com/office/drawing/2014/main" id="{5933C668-9C52-40C7-B016-9A2F1C35B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1154081" y="5168646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213360</xdr:colOff>
      <xdr:row>250</xdr:row>
      <xdr:rowOff>22860</xdr:rowOff>
    </xdr:from>
    <xdr:to>
      <xdr:col>19</xdr:col>
      <xdr:colOff>83819</xdr:colOff>
      <xdr:row>253</xdr:row>
      <xdr:rowOff>113080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87FCBC73-FC4B-4A84-BC38-7461E9E32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902621" y="4434840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</xdr:colOff>
      <xdr:row>215</xdr:row>
      <xdr:rowOff>22860</xdr:rowOff>
    </xdr:from>
    <xdr:to>
      <xdr:col>18</xdr:col>
      <xdr:colOff>167639</xdr:colOff>
      <xdr:row>218</xdr:row>
      <xdr:rowOff>113080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C523967B-F484-4222-9CA3-43EEC1550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1047401" y="3704844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145</xdr:row>
      <xdr:rowOff>68580</xdr:rowOff>
    </xdr:from>
    <xdr:to>
      <xdr:col>18</xdr:col>
      <xdr:colOff>175259</xdr:colOff>
      <xdr:row>148</xdr:row>
      <xdr:rowOff>158800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D359A4E3-0F87-4945-9B57-6F4BBD711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1039781" y="2249424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73</xdr:row>
      <xdr:rowOff>45720</xdr:rowOff>
    </xdr:from>
    <xdr:to>
      <xdr:col>19</xdr:col>
      <xdr:colOff>220979</xdr:colOff>
      <xdr:row>76</xdr:row>
      <xdr:rowOff>135940</xdr:rowOff>
    </xdr:to>
    <xdr:pic>
      <xdr:nvPicPr>
        <xdr:cNvPr id="22" name="صورة 21">
          <a:extLst>
            <a:ext uri="{FF2B5EF4-FFF2-40B4-BE49-F238E27FC236}">
              <a16:creationId xmlns:a16="http://schemas.microsoft.com/office/drawing/2014/main" id="{5CAE007E-961D-4EFF-9DC7-4962D864E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780701" y="1519428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10</xdr:col>
      <xdr:colOff>167640</xdr:colOff>
      <xdr:row>37</xdr:row>
      <xdr:rowOff>76200</xdr:rowOff>
    </xdr:from>
    <xdr:to>
      <xdr:col>19</xdr:col>
      <xdr:colOff>38099</xdr:colOff>
      <xdr:row>40</xdr:row>
      <xdr:rowOff>166420</xdr:rowOff>
    </xdr:to>
    <xdr:pic>
      <xdr:nvPicPr>
        <xdr:cNvPr id="25" name="صورة 24">
          <a:extLst>
            <a:ext uri="{FF2B5EF4-FFF2-40B4-BE49-F238E27FC236}">
              <a16:creationId xmlns:a16="http://schemas.microsoft.com/office/drawing/2014/main" id="{5CADA100-B12D-47AA-8C7A-39B563366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948341" y="7749540"/>
          <a:ext cx="2377439" cy="684580"/>
        </a:xfrm>
        <a:prstGeom prst="rect">
          <a:avLst/>
        </a:prstGeom>
      </xdr:spPr>
    </xdr:pic>
    <xdr:clientData/>
  </xdr:twoCellAnchor>
  <xdr:twoCellAnchor editAs="oneCell">
    <xdr:from>
      <xdr:col>11</xdr:col>
      <xdr:colOff>129540</xdr:colOff>
      <xdr:row>1</xdr:row>
      <xdr:rowOff>15240</xdr:rowOff>
    </xdr:from>
    <xdr:to>
      <xdr:col>19</xdr:col>
      <xdr:colOff>320039</xdr:colOff>
      <xdr:row>4</xdr:row>
      <xdr:rowOff>105460</xdr:rowOff>
    </xdr:to>
    <xdr:pic>
      <xdr:nvPicPr>
        <xdr:cNvPr id="26" name="صورة 25">
          <a:extLst>
            <a:ext uri="{FF2B5EF4-FFF2-40B4-BE49-F238E27FC236}">
              <a16:creationId xmlns:a16="http://schemas.microsoft.com/office/drawing/2014/main" id="{41BD9174-5AD5-43EE-B1A9-C6CD1B23E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681641" y="213360"/>
          <a:ext cx="2377439" cy="6845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177800</xdr:colOff>
      <xdr:row>246</xdr:row>
      <xdr:rowOff>165100</xdr:rowOff>
    </xdr:from>
    <xdr:to>
      <xdr:col>17</xdr:col>
      <xdr:colOff>254000</xdr:colOff>
      <xdr:row>250</xdr:row>
      <xdr:rowOff>83820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BA427C35-0B5C-2DD6-2FD4-C12776C55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779600" y="496443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165100</xdr:colOff>
      <xdr:row>211</xdr:row>
      <xdr:rowOff>127000</xdr:rowOff>
    </xdr:from>
    <xdr:to>
      <xdr:col>18</xdr:col>
      <xdr:colOff>215900</xdr:colOff>
      <xdr:row>215</xdr:row>
      <xdr:rowOff>48260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A7F9997E-5712-458E-B64D-C8605D2AB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551000" y="428879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241300</xdr:colOff>
      <xdr:row>176</xdr:row>
      <xdr:rowOff>127000</xdr:rowOff>
    </xdr:from>
    <xdr:to>
      <xdr:col>19</xdr:col>
      <xdr:colOff>25400</xdr:colOff>
      <xdr:row>180</xdr:row>
      <xdr:rowOff>48260</xdr:rowOff>
    </xdr:to>
    <xdr:pic>
      <xdr:nvPicPr>
        <xdr:cNvPr id="7" name="صورة 6">
          <a:extLst>
            <a:ext uri="{FF2B5EF4-FFF2-40B4-BE49-F238E27FC236}">
              <a16:creationId xmlns:a16="http://schemas.microsoft.com/office/drawing/2014/main" id="{2A3D1A3A-6B94-495A-8EAE-F1C6329B6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474800" y="361696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142</xdr:row>
      <xdr:rowOff>12700</xdr:rowOff>
    </xdr:from>
    <xdr:to>
      <xdr:col>18</xdr:col>
      <xdr:colOff>203200</xdr:colOff>
      <xdr:row>145</xdr:row>
      <xdr:rowOff>132080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A3CC93A8-D9EE-470B-A333-EE1233CC6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563700" y="295148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107</xdr:row>
      <xdr:rowOff>0</xdr:rowOff>
    </xdr:from>
    <xdr:to>
      <xdr:col>19</xdr:col>
      <xdr:colOff>12700</xdr:colOff>
      <xdr:row>110</xdr:row>
      <xdr:rowOff>119380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F06536CF-B467-43A4-973A-3553CC2A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487500" y="227711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88900</xdr:colOff>
      <xdr:row>71</xdr:row>
      <xdr:rowOff>190500</xdr:rowOff>
    </xdr:from>
    <xdr:to>
      <xdr:col>18</xdr:col>
      <xdr:colOff>139700</xdr:colOff>
      <xdr:row>75</xdr:row>
      <xdr:rowOff>101600</xdr:rowOff>
    </xdr:to>
    <xdr:pic>
      <xdr:nvPicPr>
        <xdr:cNvPr id="12" name="صورة 11">
          <a:extLst>
            <a:ext uri="{FF2B5EF4-FFF2-40B4-BE49-F238E27FC236}">
              <a16:creationId xmlns:a16="http://schemas.microsoft.com/office/drawing/2014/main" id="{84E6AE6F-166F-4777-A809-DF36009CB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627200" y="153162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177800</xdr:colOff>
      <xdr:row>36</xdr:row>
      <xdr:rowOff>114300</xdr:rowOff>
    </xdr:from>
    <xdr:to>
      <xdr:col>18</xdr:col>
      <xdr:colOff>228600</xdr:colOff>
      <xdr:row>40</xdr:row>
      <xdr:rowOff>25400</xdr:rowOff>
    </xdr:to>
    <xdr:pic>
      <xdr:nvPicPr>
        <xdr:cNvPr id="14" name="صورة 13">
          <a:extLst>
            <a:ext uri="{FF2B5EF4-FFF2-40B4-BE49-F238E27FC236}">
              <a16:creationId xmlns:a16="http://schemas.microsoft.com/office/drawing/2014/main" id="{EF4EDA61-7BDB-4748-9C68-D6327AEE9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538300" y="7772400"/>
          <a:ext cx="26543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1</xdr:row>
      <xdr:rowOff>165100</xdr:rowOff>
    </xdr:from>
    <xdr:to>
      <xdr:col>19</xdr:col>
      <xdr:colOff>12700</xdr:colOff>
      <xdr:row>5</xdr:row>
      <xdr:rowOff>76200</xdr:rowOff>
    </xdr:to>
    <xdr:pic>
      <xdr:nvPicPr>
        <xdr:cNvPr id="18" name="صورة 17">
          <a:extLst>
            <a:ext uri="{FF2B5EF4-FFF2-40B4-BE49-F238E27FC236}">
              <a16:creationId xmlns:a16="http://schemas.microsoft.com/office/drawing/2014/main" id="{548E681F-F30F-4B99-BCD5-6B938098C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2487500" y="368300"/>
          <a:ext cx="2654300" cy="723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</xdr:colOff>
      <xdr:row>187</xdr:row>
      <xdr:rowOff>114300</xdr:rowOff>
    </xdr:from>
    <xdr:to>
      <xdr:col>17</xdr:col>
      <xdr:colOff>236220</xdr:colOff>
      <xdr:row>190</xdr:row>
      <xdr:rowOff>53340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71A76AB7-56E9-84F3-8780-931EE74E4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384460" y="38740080"/>
          <a:ext cx="1920240" cy="533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106680</xdr:colOff>
      <xdr:row>150</xdr:row>
      <xdr:rowOff>53340</xdr:rowOff>
    </xdr:from>
    <xdr:to>
      <xdr:col>17</xdr:col>
      <xdr:colOff>274320</xdr:colOff>
      <xdr:row>152</xdr:row>
      <xdr:rowOff>190500</xdr:rowOff>
    </xdr:to>
    <xdr:pic>
      <xdr:nvPicPr>
        <xdr:cNvPr id="11" name="صورة 10">
          <a:extLst>
            <a:ext uri="{FF2B5EF4-FFF2-40B4-BE49-F238E27FC236}">
              <a16:creationId xmlns:a16="http://schemas.microsoft.com/office/drawing/2014/main" id="{6C1C0A54-812E-4598-930F-378BF37B1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346360" y="31028640"/>
          <a:ext cx="1920240" cy="533400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</xdr:colOff>
      <xdr:row>113</xdr:row>
      <xdr:rowOff>7620</xdr:rowOff>
    </xdr:from>
    <xdr:to>
      <xdr:col>17</xdr:col>
      <xdr:colOff>220980</xdr:colOff>
      <xdr:row>115</xdr:row>
      <xdr:rowOff>144780</xdr:rowOff>
    </xdr:to>
    <xdr:pic>
      <xdr:nvPicPr>
        <xdr:cNvPr id="13" name="صورة 12">
          <a:extLst>
            <a:ext uri="{FF2B5EF4-FFF2-40B4-BE49-F238E27FC236}">
              <a16:creationId xmlns:a16="http://schemas.microsoft.com/office/drawing/2014/main" id="{F68A5DFF-EE46-4ED5-B408-C748B95D4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399700" y="23332440"/>
          <a:ext cx="1920240" cy="533400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</xdr:colOff>
      <xdr:row>76</xdr:row>
      <xdr:rowOff>99060</xdr:rowOff>
    </xdr:from>
    <xdr:to>
      <xdr:col>17</xdr:col>
      <xdr:colOff>220980</xdr:colOff>
      <xdr:row>79</xdr:row>
      <xdr:rowOff>38100</xdr:rowOff>
    </xdr:to>
    <xdr:pic>
      <xdr:nvPicPr>
        <xdr:cNvPr id="15" name="صورة 14">
          <a:extLst>
            <a:ext uri="{FF2B5EF4-FFF2-40B4-BE49-F238E27FC236}">
              <a16:creationId xmlns:a16="http://schemas.microsoft.com/office/drawing/2014/main" id="{0E8C23ED-C78E-4E10-80BE-9C805972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399700" y="15773400"/>
          <a:ext cx="1920240" cy="5334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17</xdr:col>
      <xdr:colOff>167640</xdr:colOff>
      <xdr:row>41</xdr:row>
      <xdr:rowOff>137160</xdr:rowOff>
    </xdr:to>
    <xdr:pic>
      <xdr:nvPicPr>
        <xdr:cNvPr id="17" name="صورة 16">
          <a:extLst>
            <a:ext uri="{FF2B5EF4-FFF2-40B4-BE49-F238E27FC236}">
              <a16:creationId xmlns:a16="http://schemas.microsoft.com/office/drawing/2014/main" id="{7B45034C-90D0-4598-8B6C-EA3FF6D62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453040" y="8023860"/>
          <a:ext cx="1920240" cy="533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</xdr:colOff>
      <xdr:row>1</xdr:row>
      <xdr:rowOff>190500</xdr:rowOff>
    </xdr:from>
    <xdr:to>
      <xdr:col>16</xdr:col>
      <xdr:colOff>289560</xdr:colOff>
      <xdr:row>4</xdr:row>
      <xdr:rowOff>129540</xdr:rowOff>
    </xdr:to>
    <xdr:pic>
      <xdr:nvPicPr>
        <xdr:cNvPr id="19" name="صورة 18">
          <a:extLst>
            <a:ext uri="{FF2B5EF4-FFF2-40B4-BE49-F238E27FC236}">
              <a16:creationId xmlns:a16="http://schemas.microsoft.com/office/drawing/2014/main" id="{75E1CBF5-88BB-459E-9DD5-2452A2F52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651160" y="365760"/>
          <a:ext cx="192024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41"/>
  <sheetViews>
    <sheetView rightToLeft="1" showWhiteSpace="0" zoomScale="80" zoomScaleNormal="80" workbookViewId="0">
      <selection activeCell="B7" sqref="B7"/>
    </sheetView>
  </sheetViews>
  <sheetFormatPr defaultRowHeight="13.8" x14ac:dyDescent="0.25"/>
  <cols>
    <col min="1" max="1" width="3.3984375" customWidth="1"/>
    <col min="2" max="2" width="22.296875" bestFit="1" customWidth="1"/>
    <col min="3" max="4" width="3.8984375" customWidth="1"/>
    <col min="5" max="5" width="5.19921875" customWidth="1"/>
    <col min="6" max="7" width="3.8984375" customWidth="1"/>
    <col min="8" max="8" width="4.69921875" customWidth="1"/>
    <col min="9" max="9" width="3.8984375" customWidth="1"/>
    <col min="10" max="10" width="4.19921875" customWidth="1"/>
    <col min="11" max="11" width="5.69921875" customWidth="1"/>
    <col min="12" max="13" width="3.8984375" customWidth="1"/>
    <col min="14" max="14" width="4.3984375" customWidth="1"/>
    <col min="15" max="16" width="3.8984375" customWidth="1"/>
    <col min="17" max="17" width="4.59765625" customWidth="1"/>
    <col min="18" max="19" width="3.8984375" customWidth="1"/>
    <col min="20" max="20" width="4.296875" customWidth="1"/>
    <col min="21" max="21" width="3.8984375" customWidth="1"/>
    <col min="22" max="22" width="4.09765625" customWidth="1"/>
    <col min="23" max="23" width="4.296875" style="2" customWidth="1"/>
    <col min="24" max="26" width="3.19921875" customWidth="1"/>
    <col min="27" max="27" width="6.3984375" style="2" customWidth="1"/>
    <col min="28" max="28" width="7.59765625" customWidth="1"/>
    <col min="29" max="29" width="8.09765625" customWidth="1"/>
  </cols>
  <sheetData>
    <row r="1" spans="1:30" ht="15.6" x14ac:dyDescent="0.3">
      <c r="B1" s="15" t="s">
        <v>494</v>
      </c>
      <c r="C1" s="6"/>
      <c r="D1" s="6"/>
      <c r="E1" s="6"/>
      <c r="F1" s="6"/>
      <c r="G1" s="6"/>
      <c r="H1" s="6"/>
      <c r="I1" s="6"/>
      <c r="J1" s="6"/>
      <c r="K1" s="6"/>
      <c r="L1" s="6"/>
      <c r="M1" s="6" t="s">
        <v>467</v>
      </c>
      <c r="N1" s="6"/>
      <c r="O1" s="6"/>
      <c r="P1" s="6"/>
      <c r="Q1" s="6"/>
      <c r="R1" s="6"/>
      <c r="S1" s="6"/>
      <c r="T1" s="6"/>
      <c r="U1" s="6"/>
      <c r="V1" s="6"/>
      <c r="W1" s="5"/>
      <c r="X1" s="6"/>
      <c r="Y1" s="6"/>
      <c r="Z1" s="6"/>
      <c r="AA1" s="5"/>
      <c r="AB1" s="5" t="s">
        <v>456</v>
      </c>
      <c r="AC1" s="6"/>
      <c r="AD1" s="6"/>
    </row>
    <row r="2" spans="1:30" ht="15.6" x14ac:dyDescent="0.3">
      <c r="B2" s="15" t="s">
        <v>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5"/>
      <c r="X2" s="6"/>
      <c r="Y2" s="6"/>
      <c r="Z2" s="6"/>
      <c r="AA2" s="5"/>
      <c r="AB2" s="5" t="s">
        <v>100</v>
      </c>
      <c r="AC2" s="5"/>
      <c r="AD2" s="6"/>
    </row>
    <row r="3" spans="1:30" ht="15.6" x14ac:dyDescent="0.3">
      <c r="B3" s="15" t="s">
        <v>459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/>
      <c r="X3" s="6"/>
      <c r="Y3" s="6"/>
      <c r="Z3" s="6"/>
      <c r="AA3" s="5"/>
      <c r="AB3" s="5" t="s">
        <v>88</v>
      </c>
      <c r="AC3" s="5"/>
      <c r="AD3" s="6"/>
    </row>
    <row r="4" spans="1:30" ht="15.6" x14ac:dyDescent="0.3">
      <c r="B4" s="15" t="s">
        <v>460</v>
      </c>
      <c r="C4" s="6"/>
      <c r="D4" s="6"/>
      <c r="E4" s="6"/>
      <c r="F4" s="6"/>
      <c r="G4" s="6"/>
      <c r="H4" s="6"/>
      <c r="I4" s="6"/>
      <c r="J4" s="6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5"/>
      <c r="X4" s="6"/>
      <c r="Y4" s="6"/>
      <c r="Z4" s="6"/>
      <c r="AA4" s="5"/>
      <c r="AB4" s="5" t="s">
        <v>103</v>
      </c>
      <c r="AC4" s="5"/>
      <c r="AD4" s="6"/>
    </row>
    <row r="5" spans="1:30" ht="15.6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/>
      <c r="X5" s="6"/>
      <c r="Y5" s="6"/>
      <c r="Z5" s="6"/>
      <c r="AA5" s="5"/>
      <c r="AB5" s="5" t="s">
        <v>104</v>
      </c>
      <c r="AC5" s="5"/>
      <c r="AD5" s="6"/>
    </row>
    <row r="6" spans="1:30" ht="15.6" x14ac:dyDescent="0.3">
      <c r="B6" s="6"/>
      <c r="C6" s="5" t="s">
        <v>482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5"/>
      <c r="X6" s="6"/>
      <c r="Y6" s="6"/>
      <c r="Z6" s="6"/>
      <c r="AA6" s="5"/>
      <c r="AB6" s="5"/>
      <c r="AC6" s="5"/>
      <c r="AD6" s="6"/>
    </row>
    <row r="7" spans="1:30" ht="15.6" x14ac:dyDescent="0.3">
      <c r="A7" s="57" t="s">
        <v>0</v>
      </c>
      <c r="B7" s="38" t="s">
        <v>469</v>
      </c>
      <c r="C7" s="60" t="s">
        <v>457</v>
      </c>
      <c r="D7" s="61"/>
      <c r="E7" s="62"/>
      <c r="F7" s="60" t="s">
        <v>1</v>
      </c>
      <c r="G7" s="61"/>
      <c r="H7" s="62"/>
      <c r="I7" s="60" t="s">
        <v>2</v>
      </c>
      <c r="J7" s="61"/>
      <c r="K7" s="62"/>
      <c r="L7" s="60" t="s">
        <v>8</v>
      </c>
      <c r="M7" s="61"/>
      <c r="N7" s="62"/>
      <c r="O7" s="60" t="s">
        <v>3</v>
      </c>
      <c r="P7" s="61"/>
      <c r="Q7" s="62"/>
      <c r="R7" s="31"/>
      <c r="S7" s="31" t="s">
        <v>4</v>
      </c>
      <c r="T7" s="31"/>
      <c r="U7" s="60" t="s">
        <v>5</v>
      </c>
      <c r="V7" s="61"/>
      <c r="W7" s="62"/>
      <c r="X7" s="57" t="s">
        <v>16</v>
      </c>
      <c r="Y7" s="57" t="s">
        <v>17</v>
      </c>
      <c r="Z7" s="57" t="s">
        <v>18</v>
      </c>
      <c r="AA7" s="57" t="s">
        <v>19</v>
      </c>
      <c r="AB7" s="57" t="s">
        <v>20</v>
      </c>
      <c r="AC7" s="57" t="s">
        <v>21</v>
      </c>
    </row>
    <row r="8" spans="1:30" ht="55.2" x14ac:dyDescent="0.25">
      <c r="A8" s="58"/>
      <c r="B8" s="35" t="s">
        <v>470</v>
      </c>
      <c r="C8" s="32" t="s">
        <v>6</v>
      </c>
      <c r="D8" s="32" t="s">
        <v>461</v>
      </c>
      <c r="E8" s="32" t="s">
        <v>7</v>
      </c>
      <c r="F8" s="32" t="s">
        <v>6</v>
      </c>
      <c r="G8" s="32" t="s">
        <v>461</v>
      </c>
      <c r="H8" s="32" t="s">
        <v>7</v>
      </c>
      <c r="I8" s="32" t="s">
        <v>6</v>
      </c>
      <c r="J8" s="32" t="s">
        <v>461</v>
      </c>
      <c r="K8" s="32" t="s">
        <v>7</v>
      </c>
      <c r="L8" s="32" t="s">
        <v>6</v>
      </c>
      <c r="M8" s="32" t="s">
        <v>461</v>
      </c>
      <c r="N8" s="32" t="s">
        <v>7</v>
      </c>
      <c r="O8" s="32" t="s">
        <v>6</v>
      </c>
      <c r="P8" s="32" t="s">
        <v>461</v>
      </c>
      <c r="Q8" s="32" t="s">
        <v>7</v>
      </c>
      <c r="R8" s="32" t="s">
        <v>6</v>
      </c>
      <c r="S8" s="32" t="s">
        <v>461</v>
      </c>
      <c r="T8" s="32" t="s">
        <v>7</v>
      </c>
      <c r="U8" s="32" t="s">
        <v>6</v>
      </c>
      <c r="V8" s="32" t="s">
        <v>461</v>
      </c>
      <c r="W8" s="32" t="s">
        <v>7</v>
      </c>
      <c r="X8" s="58"/>
      <c r="Y8" s="58"/>
      <c r="Z8" s="58"/>
      <c r="AA8" s="58"/>
      <c r="AB8" s="58"/>
      <c r="AC8" s="58"/>
    </row>
    <row r="9" spans="1:30" ht="15.6" x14ac:dyDescent="0.3">
      <c r="A9" s="59"/>
      <c r="B9" s="36"/>
      <c r="C9" s="33">
        <v>50</v>
      </c>
      <c r="D9" s="33">
        <v>50</v>
      </c>
      <c r="E9" s="33">
        <v>100</v>
      </c>
      <c r="F9" s="33">
        <v>50</v>
      </c>
      <c r="G9" s="33">
        <v>50</v>
      </c>
      <c r="H9" s="33">
        <v>100</v>
      </c>
      <c r="I9" s="33">
        <v>50</v>
      </c>
      <c r="J9" s="33">
        <v>50</v>
      </c>
      <c r="K9" s="33">
        <v>100</v>
      </c>
      <c r="L9" s="33">
        <v>50</v>
      </c>
      <c r="M9" s="33">
        <v>50</v>
      </c>
      <c r="N9" s="33">
        <v>100</v>
      </c>
      <c r="O9" s="33">
        <v>50</v>
      </c>
      <c r="P9" s="33">
        <v>50</v>
      </c>
      <c r="Q9" s="33">
        <v>100</v>
      </c>
      <c r="R9" s="33">
        <v>50</v>
      </c>
      <c r="S9" s="33">
        <v>50</v>
      </c>
      <c r="T9" s="33">
        <v>100</v>
      </c>
      <c r="U9" s="33">
        <v>50</v>
      </c>
      <c r="V9" s="33">
        <v>50</v>
      </c>
      <c r="W9" s="33">
        <v>100</v>
      </c>
      <c r="X9" s="59"/>
      <c r="Y9" s="59"/>
      <c r="Z9" s="59"/>
      <c r="AA9" s="59"/>
      <c r="AB9" s="59"/>
      <c r="AC9" s="59"/>
    </row>
    <row r="10" spans="1:30" ht="15.6" x14ac:dyDescent="0.3">
      <c r="A10" s="16">
        <v>1</v>
      </c>
      <c r="B10" s="17" t="s">
        <v>46</v>
      </c>
      <c r="C10" s="16">
        <v>49</v>
      </c>
      <c r="D10" s="16">
        <v>48</v>
      </c>
      <c r="E10" s="33">
        <f t="shared" ref="E10:E28" si="0">SUM(C10:D10)</f>
        <v>97</v>
      </c>
      <c r="F10" s="16">
        <v>50</v>
      </c>
      <c r="G10" s="16">
        <v>49</v>
      </c>
      <c r="H10" s="33">
        <f t="shared" ref="H10:H28" si="1">SUM(F10:G10)</f>
        <v>99</v>
      </c>
      <c r="I10" s="16">
        <v>48</v>
      </c>
      <c r="J10" s="16">
        <v>50</v>
      </c>
      <c r="K10" s="33">
        <f t="shared" ref="K10:K28" si="2">SUM(I10:J10)</f>
        <v>98</v>
      </c>
      <c r="L10" s="16"/>
      <c r="M10" s="16"/>
      <c r="N10" s="33"/>
      <c r="O10" s="16">
        <v>42</v>
      </c>
      <c r="P10" s="16">
        <v>40</v>
      </c>
      <c r="Q10" s="33">
        <f t="shared" ref="Q10:Q28" si="3">SUM(O10:P10)</f>
        <v>82</v>
      </c>
      <c r="R10" s="16"/>
      <c r="S10" s="16"/>
      <c r="T10" s="33"/>
      <c r="U10" s="16">
        <v>50</v>
      </c>
      <c r="V10" s="16">
        <v>46</v>
      </c>
      <c r="W10" s="37">
        <f t="shared" ref="W10:W28" si="4">SUM(U10:V10)</f>
        <v>96</v>
      </c>
      <c r="X10" s="19"/>
      <c r="Y10" s="19"/>
      <c r="Z10" s="19"/>
      <c r="AA10" s="37">
        <f t="shared" ref="AA10:AA28" si="5">SUM(W10,Q10,K10,H10,E10)</f>
        <v>472</v>
      </c>
      <c r="AB10" s="16" t="s">
        <v>117</v>
      </c>
      <c r="AC10" s="19"/>
    </row>
    <row r="11" spans="1:30" ht="15.6" x14ac:dyDescent="0.3">
      <c r="A11" s="16">
        <v>2</v>
      </c>
      <c r="B11" s="17" t="s">
        <v>102</v>
      </c>
      <c r="C11" s="16">
        <v>46</v>
      </c>
      <c r="D11" s="16">
        <v>46</v>
      </c>
      <c r="E11" s="33">
        <f t="shared" si="0"/>
        <v>92</v>
      </c>
      <c r="F11" s="16">
        <v>48</v>
      </c>
      <c r="G11" s="16">
        <v>45</v>
      </c>
      <c r="H11" s="33">
        <f t="shared" si="1"/>
        <v>93</v>
      </c>
      <c r="I11" s="16">
        <v>25</v>
      </c>
      <c r="J11" s="16">
        <v>38</v>
      </c>
      <c r="K11" s="33">
        <f t="shared" si="2"/>
        <v>63</v>
      </c>
      <c r="L11" s="16"/>
      <c r="M11" s="16"/>
      <c r="N11" s="33"/>
      <c r="O11" s="16">
        <v>42</v>
      </c>
      <c r="P11" s="16">
        <v>28</v>
      </c>
      <c r="Q11" s="33">
        <f t="shared" si="3"/>
        <v>70</v>
      </c>
      <c r="R11" s="16"/>
      <c r="S11" s="16"/>
      <c r="T11" s="33"/>
      <c r="U11" s="16">
        <v>36</v>
      </c>
      <c r="V11" s="16">
        <v>37</v>
      </c>
      <c r="W11" s="37">
        <f t="shared" si="4"/>
        <v>73</v>
      </c>
      <c r="X11" s="19"/>
      <c r="Y11" s="19"/>
      <c r="Z11" s="19"/>
      <c r="AA11" s="37">
        <f t="shared" si="5"/>
        <v>391</v>
      </c>
      <c r="AB11" s="16" t="s">
        <v>117</v>
      </c>
      <c r="AC11" s="19"/>
    </row>
    <row r="12" spans="1:30" ht="15.6" x14ac:dyDescent="0.3">
      <c r="A12" s="16">
        <v>3</v>
      </c>
      <c r="B12" s="17" t="s">
        <v>47</v>
      </c>
      <c r="C12" s="16">
        <v>48</v>
      </c>
      <c r="D12" s="16">
        <v>48</v>
      </c>
      <c r="E12" s="33">
        <f t="shared" si="0"/>
        <v>96</v>
      </c>
      <c r="F12" s="16">
        <v>49</v>
      </c>
      <c r="G12" s="16">
        <v>31</v>
      </c>
      <c r="H12" s="33">
        <f t="shared" si="1"/>
        <v>80</v>
      </c>
      <c r="I12" s="16">
        <v>50</v>
      </c>
      <c r="J12" s="16">
        <v>38</v>
      </c>
      <c r="K12" s="33">
        <f t="shared" si="2"/>
        <v>88</v>
      </c>
      <c r="L12" s="16"/>
      <c r="M12" s="16"/>
      <c r="N12" s="33"/>
      <c r="O12" s="16">
        <v>50</v>
      </c>
      <c r="P12" s="16">
        <v>47</v>
      </c>
      <c r="Q12" s="33">
        <f t="shared" si="3"/>
        <v>97</v>
      </c>
      <c r="R12" s="16"/>
      <c r="S12" s="16"/>
      <c r="T12" s="33"/>
      <c r="U12" s="16">
        <v>50</v>
      </c>
      <c r="V12" s="16">
        <v>31</v>
      </c>
      <c r="W12" s="37">
        <f t="shared" si="4"/>
        <v>81</v>
      </c>
      <c r="X12" s="19"/>
      <c r="Y12" s="19"/>
      <c r="Z12" s="19"/>
      <c r="AA12" s="37">
        <f t="shared" si="5"/>
        <v>442</v>
      </c>
      <c r="AB12" s="16" t="s">
        <v>117</v>
      </c>
      <c r="AC12" s="19"/>
    </row>
    <row r="13" spans="1:30" ht="15.6" x14ac:dyDescent="0.3">
      <c r="A13" s="16">
        <v>4</v>
      </c>
      <c r="B13" s="17" t="s">
        <v>108</v>
      </c>
      <c r="C13" s="16">
        <v>49</v>
      </c>
      <c r="D13" s="16">
        <v>46</v>
      </c>
      <c r="E13" s="33">
        <f t="shared" si="0"/>
        <v>95</v>
      </c>
      <c r="F13" s="16">
        <v>50</v>
      </c>
      <c r="G13" s="16">
        <v>46</v>
      </c>
      <c r="H13" s="33">
        <f t="shared" si="1"/>
        <v>96</v>
      </c>
      <c r="I13" s="16">
        <v>30</v>
      </c>
      <c r="J13" s="16">
        <v>34</v>
      </c>
      <c r="K13" s="33">
        <f t="shared" si="2"/>
        <v>64</v>
      </c>
      <c r="L13" s="16"/>
      <c r="M13" s="16"/>
      <c r="N13" s="33"/>
      <c r="O13" s="16">
        <v>46</v>
      </c>
      <c r="P13" s="16">
        <v>34</v>
      </c>
      <c r="Q13" s="33">
        <f t="shared" si="3"/>
        <v>80</v>
      </c>
      <c r="R13" s="16"/>
      <c r="S13" s="16"/>
      <c r="T13" s="33"/>
      <c r="U13" s="16">
        <v>50</v>
      </c>
      <c r="V13" s="16">
        <v>27</v>
      </c>
      <c r="W13" s="37">
        <f t="shared" si="4"/>
        <v>77</v>
      </c>
      <c r="X13" s="19"/>
      <c r="Y13" s="19"/>
      <c r="Z13" s="19"/>
      <c r="AA13" s="37">
        <f t="shared" si="5"/>
        <v>412</v>
      </c>
      <c r="AB13" s="16" t="s">
        <v>117</v>
      </c>
      <c r="AC13" s="19"/>
    </row>
    <row r="14" spans="1:30" ht="15.6" x14ac:dyDescent="0.3">
      <c r="A14" s="16">
        <v>5</v>
      </c>
      <c r="B14" s="17" t="s">
        <v>48</v>
      </c>
      <c r="C14" s="16">
        <v>23</v>
      </c>
      <c r="D14" s="16">
        <v>33</v>
      </c>
      <c r="E14" s="33">
        <f t="shared" si="0"/>
        <v>56</v>
      </c>
      <c r="F14" s="16">
        <v>28</v>
      </c>
      <c r="G14" s="16">
        <v>22</v>
      </c>
      <c r="H14" s="33">
        <f t="shared" si="1"/>
        <v>50</v>
      </c>
      <c r="I14" s="16">
        <v>31</v>
      </c>
      <c r="J14" s="16">
        <v>28</v>
      </c>
      <c r="K14" s="33">
        <f t="shared" si="2"/>
        <v>59</v>
      </c>
      <c r="L14" s="16"/>
      <c r="M14" s="16"/>
      <c r="N14" s="33"/>
      <c r="O14" s="16">
        <v>20</v>
      </c>
      <c r="P14" s="16">
        <v>30</v>
      </c>
      <c r="Q14" s="33">
        <f t="shared" si="3"/>
        <v>50</v>
      </c>
      <c r="R14" s="16"/>
      <c r="S14" s="16"/>
      <c r="T14" s="33"/>
      <c r="U14" s="16">
        <v>30</v>
      </c>
      <c r="V14" s="16">
        <v>24</v>
      </c>
      <c r="W14" s="37">
        <f t="shared" si="4"/>
        <v>54</v>
      </c>
      <c r="X14" s="19"/>
      <c r="Y14" s="19"/>
      <c r="Z14" s="19"/>
      <c r="AA14" s="37">
        <f t="shared" si="5"/>
        <v>269</v>
      </c>
      <c r="AB14" s="16" t="s">
        <v>117</v>
      </c>
      <c r="AC14" s="19"/>
    </row>
    <row r="15" spans="1:30" ht="15.6" x14ac:dyDescent="0.3">
      <c r="A15" s="16">
        <v>6</v>
      </c>
      <c r="B15" s="17" t="s">
        <v>49</v>
      </c>
      <c r="C15" s="16">
        <v>36</v>
      </c>
      <c r="D15" s="16">
        <v>32</v>
      </c>
      <c r="E15" s="33">
        <f t="shared" si="0"/>
        <v>68</v>
      </c>
      <c r="F15" s="16">
        <v>12</v>
      </c>
      <c r="G15" s="16">
        <v>40</v>
      </c>
      <c r="H15" s="33">
        <f t="shared" si="1"/>
        <v>52</v>
      </c>
      <c r="I15" s="16">
        <v>14</v>
      </c>
      <c r="J15" s="16">
        <v>38</v>
      </c>
      <c r="K15" s="33">
        <f t="shared" si="2"/>
        <v>52</v>
      </c>
      <c r="L15" s="16"/>
      <c r="M15" s="16"/>
      <c r="N15" s="33"/>
      <c r="O15" s="16">
        <v>13</v>
      </c>
      <c r="P15" s="16">
        <v>38</v>
      </c>
      <c r="Q15" s="33">
        <f t="shared" si="3"/>
        <v>51</v>
      </c>
      <c r="R15" s="16"/>
      <c r="S15" s="16"/>
      <c r="T15" s="33"/>
      <c r="U15" s="16">
        <v>12</v>
      </c>
      <c r="V15" s="16">
        <v>39</v>
      </c>
      <c r="W15" s="37">
        <f t="shared" si="4"/>
        <v>51</v>
      </c>
      <c r="X15" s="19"/>
      <c r="Y15" s="19"/>
      <c r="Z15" s="19"/>
      <c r="AA15" s="37">
        <f t="shared" si="5"/>
        <v>274</v>
      </c>
      <c r="AB15" s="16" t="s">
        <v>117</v>
      </c>
      <c r="AC15" s="19"/>
    </row>
    <row r="16" spans="1:30" ht="15.6" x14ac:dyDescent="0.3">
      <c r="A16" s="16">
        <v>7</v>
      </c>
      <c r="B16" s="17" t="s">
        <v>50</v>
      </c>
      <c r="C16" s="16">
        <v>50</v>
      </c>
      <c r="D16" s="16">
        <v>49</v>
      </c>
      <c r="E16" s="33">
        <f t="shared" si="0"/>
        <v>99</v>
      </c>
      <c r="F16" s="16">
        <v>48</v>
      </c>
      <c r="G16" s="16">
        <v>34</v>
      </c>
      <c r="H16" s="33">
        <f t="shared" si="1"/>
        <v>82</v>
      </c>
      <c r="I16" s="16">
        <v>47</v>
      </c>
      <c r="J16" s="16">
        <v>44</v>
      </c>
      <c r="K16" s="33">
        <f t="shared" si="2"/>
        <v>91</v>
      </c>
      <c r="L16" s="16"/>
      <c r="M16" s="16"/>
      <c r="N16" s="33"/>
      <c r="O16" s="16">
        <v>50</v>
      </c>
      <c r="P16" s="16">
        <v>44</v>
      </c>
      <c r="Q16" s="33">
        <f t="shared" si="3"/>
        <v>94</v>
      </c>
      <c r="R16" s="16"/>
      <c r="S16" s="16"/>
      <c r="T16" s="33"/>
      <c r="U16" s="16">
        <v>50</v>
      </c>
      <c r="V16" s="16">
        <v>38</v>
      </c>
      <c r="W16" s="37">
        <f t="shared" si="4"/>
        <v>88</v>
      </c>
      <c r="X16" s="19"/>
      <c r="Y16" s="19"/>
      <c r="Z16" s="19"/>
      <c r="AA16" s="37">
        <f t="shared" si="5"/>
        <v>454</v>
      </c>
      <c r="AB16" s="16" t="s">
        <v>117</v>
      </c>
      <c r="AC16" s="19"/>
    </row>
    <row r="17" spans="1:29" ht="15.6" x14ac:dyDescent="0.3">
      <c r="A17" s="16">
        <v>8</v>
      </c>
      <c r="B17" s="17" t="s">
        <v>51</v>
      </c>
      <c r="C17" s="16">
        <v>48</v>
      </c>
      <c r="D17" s="16">
        <v>27</v>
      </c>
      <c r="E17" s="33">
        <f t="shared" si="0"/>
        <v>75</v>
      </c>
      <c r="F17" s="16">
        <v>47</v>
      </c>
      <c r="G17" s="16">
        <v>30</v>
      </c>
      <c r="H17" s="33">
        <f t="shared" si="1"/>
        <v>77</v>
      </c>
      <c r="I17" s="16">
        <v>42</v>
      </c>
      <c r="J17" s="16">
        <v>37</v>
      </c>
      <c r="K17" s="33">
        <f t="shared" si="2"/>
        <v>79</v>
      </c>
      <c r="L17" s="16"/>
      <c r="M17" s="16"/>
      <c r="N17" s="33"/>
      <c r="O17" s="16">
        <v>44</v>
      </c>
      <c r="P17" s="16">
        <v>29</v>
      </c>
      <c r="Q17" s="33">
        <f t="shared" si="3"/>
        <v>73</v>
      </c>
      <c r="R17" s="16"/>
      <c r="S17" s="16"/>
      <c r="T17" s="33"/>
      <c r="U17" s="16">
        <v>48</v>
      </c>
      <c r="V17" s="16">
        <v>22</v>
      </c>
      <c r="W17" s="37">
        <f t="shared" si="4"/>
        <v>70</v>
      </c>
      <c r="X17" s="19"/>
      <c r="Y17" s="19"/>
      <c r="Z17" s="19"/>
      <c r="AA17" s="37">
        <f t="shared" si="5"/>
        <v>374</v>
      </c>
      <c r="AB17" s="16" t="s">
        <v>117</v>
      </c>
      <c r="AC17" s="19"/>
    </row>
    <row r="18" spans="1:29" ht="15.6" x14ac:dyDescent="0.3">
      <c r="A18" s="16">
        <v>10</v>
      </c>
      <c r="B18" s="17" t="s">
        <v>472</v>
      </c>
      <c r="C18" s="16">
        <v>48</v>
      </c>
      <c r="D18" s="16">
        <v>30</v>
      </c>
      <c r="E18" s="33">
        <f t="shared" si="0"/>
        <v>78</v>
      </c>
      <c r="F18" s="16">
        <v>46</v>
      </c>
      <c r="G18" s="16">
        <v>25</v>
      </c>
      <c r="H18" s="33">
        <f t="shared" si="1"/>
        <v>71</v>
      </c>
      <c r="I18" s="16">
        <v>36</v>
      </c>
      <c r="J18" s="16">
        <v>37</v>
      </c>
      <c r="K18" s="33">
        <f t="shared" si="2"/>
        <v>73</v>
      </c>
      <c r="L18" s="16"/>
      <c r="M18" s="16"/>
      <c r="N18" s="33"/>
      <c r="O18" s="16">
        <v>41</v>
      </c>
      <c r="P18" s="16">
        <v>35</v>
      </c>
      <c r="Q18" s="33">
        <f t="shared" si="3"/>
        <v>76</v>
      </c>
      <c r="R18" s="16"/>
      <c r="S18" s="16"/>
      <c r="T18" s="33"/>
      <c r="U18" s="16">
        <v>30</v>
      </c>
      <c r="V18" s="16">
        <v>32</v>
      </c>
      <c r="W18" s="37">
        <f t="shared" si="4"/>
        <v>62</v>
      </c>
      <c r="X18" s="19"/>
      <c r="Y18" s="19"/>
      <c r="Z18" s="19"/>
      <c r="AA18" s="37">
        <f t="shared" si="5"/>
        <v>360</v>
      </c>
      <c r="AB18" s="16" t="s">
        <v>117</v>
      </c>
      <c r="AC18" s="19"/>
    </row>
    <row r="19" spans="1:29" ht="15.6" x14ac:dyDescent="0.3">
      <c r="A19" s="16">
        <v>11</v>
      </c>
      <c r="B19" s="17" t="s">
        <v>109</v>
      </c>
      <c r="C19" s="16">
        <v>46</v>
      </c>
      <c r="D19" s="16">
        <v>26</v>
      </c>
      <c r="E19" s="33">
        <f t="shared" si="0"/>
        <v>72</v>
      </c>
      <c r="F19" s="16">
        <v>46</v>
      </c>
      <c r="G19" s="16">
        <v>34</v>
      </c>
      <c r="H19" s="33">
        <f t="shared" si="1"/>
        <v>80</v>
      </c>
      <c r="I19" s="16">
        <v>32</v>
      </c>
      <c r="J19" s="16">
        <v>40</v>
      </c>
      <c r="K19" s="33">
        <f t="shared" si="2"/>
        <v>72</v>
      </c>
      <c r="L19" s="16"/>
      <c r="M19" s="16"/>
      <c r="N19" s="33"/>
      <c r="O19" s="16">
        <v>43</v>
      </c>
      <c r="P19" s="16">
        <v>35</v>
      </c>
      <c r="Q19" s="33">
        <f t="shared" si="3"/>
        <v>78</v>
      </c>
      <c r="R19" s="16"/>
      <c r="S19" s="16"/>
      <c r="T19" s="33"/>
      <c r="U19" s="16">
        <v>49</v>
      </c>
      <c r="V19" s="16">
        <v>28</v>
      </c>
      <c r="W19" s="37">
        <f t="shared" si="4"/>
        <v>77</v>
      </c>
      <c r="X19" s="19"/>
      <c r="Y19" s="19"/>
      <c r="Z19" s="19"/>
      <c r="AA19" s="37">
        <f t="shared" si="5"/>
        <v>379</v>
      </c>
      <c r="AB19" s="16" t="s">
        <v>117</v>
      </c>
      <c r="AC19" s="19"/>
    </row>
    <row r="20" spans="1:29" ht="15.6" x14ac:dyDescent="0.3">
      <c r="A20" s="16">
        <v>12</v>
      </c>
      <c r="B20" s="17" t="s">
        <v>110</v>
      </c>
      <c r="C20" s="16">
        <v>48</v>
      </c>
      <c r="D20" s="16">
        <v>42</v>
      </c>
      <c r="E20" s="33">
        <f t="shared" si="0"/>
        <v>90</v>
      </c>
      <c r="F20" s="16">
        <v>47</v>
      </c>
      <c r="G20" s="16">
        <v>45</v>
      </c>
      <c r="H20" s="33">
        <f t="shared" si="1"/>
        <v>92</v>
      </c>
      <c r="I20" s="16">
        <v>25</v>
      </c>
      <c r="J20" s="16">
        <v>46</v>
      </c>
      <c r="K20" s="33">
        <f t="shared" si="2"/>
        <v>71</v>
      </c>
      <c r="L20" s="16"/>
      <c r="M20" s="16"/>
      <c r="N20" s="33"/>
      <c r="O20" s="16">
        <v>33</v>
      </c>
      <c r="P20" s="16">
        <v>31</v>
      </c>
      <c r="Q20" s="33">
        <f t="shared" si="3"/>
        <v>64</v>
      </c>
      <c r="R20" s="16"/>
      <c r="S20" s="16"/>
      <c r="T20" s="33"/>
      <c r="U20" s="16">
        <v>42</v>
      </c>
      <c r="V20" s="16">
        <v>32</v>
      </c>
      <c r="W20" s="37">
        <f t="shared" si="4"/>
        <v>74</v>
      </c>
      <c r="X20" s="19"/>
      <c r="Y20" s="19"/>
      <c r="Z20" s="19"/>
      <c r="AA20" s="37">
        <f t="shared" si="5"/>
        <v>391</v>
      </c>
      <c r="AB20" s="16" t="s">
        <v>117</v>
      </c>
      <c r="AC20" s="19"/>
    </row>
    <row r="21" spans="1:29" ht="15.6" x14ac:dyDescent="0.3">
      <c r="A21" s="16">
        <v>13</v>
      </c>
      <c r="B21" s="17" t="s">
        <v>111</v>
      </c>
      <c r="C21" s="16">
        <v>49</v>
      </c>
      <c r="D21" s="16">
        <v>49</v>
      </c>
      <c r="E21" s="33">
        <f t="shared" si="0"/>
        <v>98</v>
      </c>
      <c r="F21" s="16">
        <v>49</v>
      </c>
      <c r="G21" s="16">
        <v>40</v>
      </c>
      <c r="H21" s="33">
        <f t="shared" si="1"/>
        <v>89</v>
      </c>
      <c r="I21" s="16">
        <v>42</v>
      </c>
      <c r="J21" s="16">
        <v>42</v>
      </c>
      <c r="K21" s="33">
        <f t="shared" si="2"/>
        <v>84</v>
      </c>
      <c r="L21" s="16"/>
      <c r="M21" s="16"/>
      <c r="N21" s="33"/>
      <c r="O21" s="16">
        <v>44</v>
      </c>
      <c r="P21" s="16">
        <v>45</v>
      </c>
      <c r="Q21" s="33">
        <f t="shared" si="3"/>
        <v>89</v>
      </c>
      <c r="R21" s="16"/>
      <c r="S21" s="16"/>
      <c r="T21" s="33"/>
      <c r="U21" s="16">
        <v>50</v>
      </c>
      <c r="V21" s="16">
        <v>48</v>
      </c>
      <c r="W21" s="37">
        <f t="shared" si="4"/>
        <v>98</v>
      </c>
      <c r="X21" s="19"/>
      <c r="Y21" s="19"/>
      <c r="Z21" s="19"/>
      <c r="AA21" s="37">
        <f t="shared" si="5"/>
        <v>458</v>
      </c>
      <c r="AB21" s="16" t="s">
        <v>117</v>
      </c>
      <c r="AC21" s="19"/>
    </row>
    <row r="22" spans="1:29" ht="15.6" x14ac:dyDescent="0.3">
      <c r="A22" s="16">
        <v>14</v>
      </c>
      <c r="B22" s="17" t="s">
        <v>53</v>
      </c>
      <c r="C22" s="16">
        <v>50</v>
      </c>
      <c r="D22" s="16">
        <v>49</v>
      </c>
      <c r="E22" s="33">
        <f t="shared" si="0"/>
        <v>99</v>
      </c>
      <c r="F22" s="16">
        <v>48</v>
      </c>
      <c r="G22" s="16">
        <v>50</v>
      </c>
      <c r="H22" s="33">
        <f t="shared" si="1"/>
        <v>98</v>
      </c>
      <c r="I22" s="16">
        <v>42</v>
      </c>
      <c r="J22" s="16">
        <v>48</v>
      </c>
      <c r="K22" s="33">
        <f t="shared" si="2"/>
        <v>90</v>
      </c>
      <c r="L22" s="16"/>
      <c r="M22" s="16"/>
      <c r="N22" s="33"/>
      <c r="O22" s="16">
        <v>44</v>
      </c>
      <c r="P22" s="16">
        <v>45</v>
      </c>
      <c r="Q22" s="33">
        <f t="shared" si="3"/>
        <v>89</v>
      </c>
      <c r="R22" s="16"/>
      <c r="S22" s="16"/>
      <c r="T22" s="33"/>
      <c r="U22" s="16">
        <v>49</v>
      </c>
      <c r="V22" s="16">
        <v>49</v>
      </c>
      <c r="W22" s="37">
        <f t="shared" si="4"/>
        <v>98</v>
      </c>
      <c r="X22" s="19"/>
      <c r="Y22" s="19"/>
      <c r="Z22" s="19"/>
      <c r="AA22" s="37">
        <f t="shared" si="5"/>
        <v>474</v>
      </c>
      <c r="AB22" s="16" t="s">
        <v>117</v>
      </c>
      <c r="AC22" s="19"/>
    </row>
    <row r="23" spans="1:29" ht="15.6" x14ac:dyDescent="0.3">
      <c r="A23" s="16">
        <v>15</v>
      </c>
      <c r="B23" s="17" t="s">
        <v>54</v>
      </c>
      <c r="C23" s="16">
        <v>48</v>
      </c>
      <c r="D23" s="16">
        <v>48</v>
      </c>
      <c r="E23" s="33">
        <f t="shared" si="0"/>
        <v>96</v>
      </c>
      <c r="F23" s="16">
        <v>48</v>
      </c>
      <c r="G23" s="16">
        <v>50</v>
      </c>
      <c r="H23" s="33">
        <f t="shared" si="1"/>
        <v>98</v>
      </c>
      <c r="I23" s="16">
        <v>42</v>
      </c>
      <c r="J23" s="16">
        <v>39</v>
      </c>
      <c r="K23" s="33">
        <f t="shared" si="2"/>
        <v>81</v>
      </c>
      <c r="L23" s="16"/>
      <c r="M23" s="16"/>
      <c r="N23" s="33"/>
      <c r="O23" s="16">
        <v>35</v>
      </c>
      <c r="P23" s="16">
        <v>48</v>
      </c>
      <c r="Q23" s="33">
        <f t="shared" si="3"/>
        <v>83</v>
      </c>
      <c r="R23" s="16"/>
      <c r="S23" s="16"/>
      <c r="T23" s="33"/>
      <c r="U23" s="16">
        <v>50</v>
      </c>
      <c r="V23" s="16">
        <v>48</v>
      </c>
      <c r="W23" s="37">
        <f t="shared" si="4"/>
        <v>98</v>
      </c>
      <c r="X23" s="19"/>
      <c r="Y23" s="19"/>
      <c r="Z23" s="19"/>
      <c r="AA23" s="37">
        <f t="shared" si="5"/>
        <v>456</v>
      </c>
      <c r="AB23" s="16" t="s">
        <v>117</v>
      </c>
      <c r="AC23" s="19"/>
    </row>
    <row r="24" spans="1:29" ht="15.6" x14ac:dyDescent="0.3">
      <c r="A24" s="16">
        <v>16</v>
      </c>
      <c r="B24" s="17" t="s">
        <v>55</v>
      </c>
      <c r="C24" s="16">
        <v>50</v>
      </c>
      <c r="D24" s="16">
        <v>50</v>
      </c>
      <c r="E24" s="33">
        <f t="shared" si="0"/>
        <v>100</v>
      </c>
      <c r="F24" s="16">
        <v>49</v>
      </c>
      <c r="G24" s="16">
        <v>48</v>
      </c>
      <c r="H24" s="33">
        <f t="shared" si="1"/>
        <v>97</v>
      </c>
      <c r="I24" s="16">
        <v>37</v>
      </c>
      <c r="J24" s="16">
        <v>50</v>
      </c>
      <c r="K24" s="33">
        <f t="shared" si="2"/>
        <v>87</v>
      </c>
      <c r="L24" s="16"/>
      <c r="M24" s="16"/>
      <c r="N24" s="33"/>
      <c r="O24" s="16">
        <v>48</v>
      </c>
      <c r="P24" s="16">
        <v>48</v>
      </c>
      <c r="Q24" s="33">
        <f t="shared" si="3"/>
        <v>96</v>
      </c>
      <c r="R24" s="16"/>
      <c r="S24" s="16"/>
      <c r="T24" s="33"/>
      <c r="U24" s="16">
        <v>49</v>
      </c>
      <c r="V24" s="16">
        <v>48</v>
      </c>
      <c r="W24" s="37">
        <f t="shared" si="4"/>
        <v>97</v>
      </c>
      <c r="X24" s="19"/>
      <c r="Y24" s="19"/>
      <c r="Z24" s="19"/>
      <c r="AA24" s="37">
        <f t="shared" si="5"/>
        <v>477</v>
      </c>
      <c r="AB24" s="16" t="s">
        <v>117</v>
      </c>
      <c r="AC24" s="19"/>
    </row>
    <row r="25" spans="1:29" ht="15.6" x14ac:dyDescent="0.3">
      <c r="A25" s="16">
        <v>17</v>
      </c>
      <c r="B25" s="17" t="s">
        <v>56</v>
      </c>
      <c r="C25" s="16">
        <v>36</v>
      </c>
      <c r="D25" s="16">
        <v>44</v>
      </c>
      <c r="E25" s="33">
        <f t="shared" si="0"/>
        <v>80</v>
      </c>
      <c r="F25" s="16">
        <v>41</v>
      </c>
      <c r="G25" s="16">
        <v>40</v>
      </c>
      <c r="H25" s="33">
        <f t="shared" si="1"/>
        <v>81</v>
      </c>
      <c r="I25" s="16">
        <v>27</v>
      </c>
      <c r="J25" s="16">
        <v>39</v>
      </c>
      <c r="K25" s="33">
        <f t="shared" si="2"/>
        <v>66</v>
      </c>
      <c r="L25" s="16"/>
      <c r="M25" s="16"/>
      <c r="N25" s="33"/>
      <c r="O25" s="16">
        <v>35</v>
      </c>
      <c r="P25" s="16">
        <v>36</v>
      </c>
      <c r="Q25" s="33">
        <f t="shared" si="3"/>
        <v>71</v>
      </c>
      <c r="R25" s="16"/>
      <c r="S25" s="16"/>
      <c r="T25" s="33"/>
      <c r="U25" s="16">
        <v>43</v>
      </c>
      <c r="V25" s="16">
        <v>33</v>
      </c>
      <c r="W25" s="37">
        <f t="shared" si="4"/>
        <v>76</v>
      </c>
      <c r="X25" s="19"/>
      <c r="Y25" s="19"/>
      <c r="Z25" s="19"/>
      <c r="AA25" s="37">
        <f t="shared" si="5"/>
        <v>374</v>
      </c>
      <c r="AB25" s="16" t="s">
        <v>117</v>
      </c>
      <c r="AC25" s="19"/>
    </row>
    <row r="26" spans="1:29" ht="15.6" x14ac:dyDescent="0.3">
      <c r="A26" s="16">
        <v>18</v>
      </c>
      <c r="B26" s="17" t="s">
        <v>112</v>
      </c>
      <c r="C26" s="16">
        <v>36</v>
      </c>
      <c r="D26" s="16">
        <v>14</v>
      </c>
      <c r="E26" s="33">
        <f t="shared" si="0"/>
        <v>50</v>
      </c>
      <c r="F26" s="16">
        <v>44</v>
      </c>
      <c r="G26" s="16">
        <v>22</v>
      </c>
      <c r="H26" s="33">
        <f t="shared" si="1"/>
        <v>66</v>
      </c>
      <c r="I26" s="16">
        <v>23</v>
      </c>
      <c r="J26" s="16">
        <v>29</v>
      </c>
      <c r="K26" s="33">
        <f t="shared" si="2"/>
        <v>52</v>
      </c>
      <c r="L26" s="16"/>
      <c r="M26" s="16"/>
      <c r="N26" s="33"/>
      <c r="O26" s="16">
        <v>34</v>
      </c>
      <c r="P26" s="16">
        <v>39</v>
      </c>
      <c r="Q26" s="33">
        <f t="shared" si="3"/>
        <v>73</v>
      </c>
      <c r="R26" s="16"/>
      <c r="S26" s="16"/>
      <c r="T26" s="33"/>
      <c r="U26" s="16">
        <v>38</v>
      </c>
      <c r="V26" s="16">
        <v>25</v>
      </c>
      <c r="W26" s="37">
        <f t="shared" si="4"/>
        <v>63</v>
      </c>
      <c r="X26" s="19"/>
      <c r="Y26" s="19"/>
      <c r="Z26" s="19"/>
      <c r="AA26" s="37">
        <f t="shared" si="5"/>
        <v>304</v>
      </c>
      <c r="AB26" s="16" t="s">
        <v>117</v>
      </c>
      <c r="AC26" s="19"/>
    </row>
    <row r="27" spans="1:29" ht="15.6" x14ac:dyDescent="0.3">
      <c r="A27" s="16">
        <v>19</v>
      </c>
      <c r="B27" s="17" t="s">
        <v>57</v>
      </c>
      <c r="C27" s="16">
        <v>49</v>
      </c>
      <c r="D27" s="16">
        <v>40</v>
      </c>
      <c r="E27" s="33">
        <f t="shared" si="0"/>
        <v>89</v>
      </c>
      <c r="F27" s="16">
        <v>48</v>
      </c>
      <c r="G27" s="16">
        <v>37</v>
      </c>
      <c r="H27" s="33">
        <f t="shared" si="1"/>
        <v>85</v>
      </c>
      <c r="I27" s="16">
        <v>36</v>
      </c>
      <c r="J27" s="16">
        <v>44</v>
      </c>
      <c r="K27" s="33">
        <f t="shared" si="2"/>
        <v>80</v>
      </c>
      <c r="L27" s="16"/>
      <c r="M27" s="16"/>
      <c r="N27" s="33"/>
      <c r="O27" s="16">
        <v>30</v>
      </c>
      <c r="P27" s="16">
        <v>39</v>
      </c>
      <c r="Q27" s="33">
        <f t="shared" si="3"/>
        <v>69</v>
      </c>
      <c r="R27" s="16"/>
      <c r="S27" s="16"/>
      <c r="T27" s="33"/>
      <c r="U27" s="16">
        <v>48</v>
      </c>
      <c r="V27" s="16">
        <v>26</v>
      </c>
      <c r="W27" s="37">
        <f t="shared" si="4"/>
        <v>74</v>
      </c>
      <c r="X27" s="19"/>
      <c r="Y27" s="19"/>
      <c r="Z27" s="19"/>
      <c r="AA27" s="37">
        <f t="shared" si="5"/>
        <v>397</v>
      </c>
      <c r="AB27" s="16" t="s">
        <v>117</v>
      </c>
      <c r="AC27" s="19"/>
    </row>
    <row r="28" spans="1:29" ht="15.6" x14ac:dyDescent="0.3">
      <c r="A28" s="16">
        <v>20</v>
      </c>
      <c r="B28" s="17" t="s">
        <v>59</v>
      </c>
      <c r="C28" s="16">
        <v>16</v>
      </c>
      <c r="D28" s="16">
        <v>40</v>
      </c>
      <c r="E28" s="33">
        <f t="shared" si="0"/>
        <v>56</v>
      </c>
      <c r="F28" s="16">
        <v>20</v>
      </c>
      <c r="G28" s="16">
        <v>30</v>
      </c>
      <c r="H28" s="33">
        <f t="shared" si="1"/>
        <v>50</v>
      </c>
      <c r="I28" s="16">
        <v>17</v>
      </c>
      <c r="J28" s="16">
        <v>40</v>
      </c>
      <c r="K28" s="33">
        <f t="shared" si="2"/>
        <v>57</v>
      </c>
      <c r="L28" s="16"/>
      <c r="M28" s="16"/>
      <c r="N28" s="33"/>
      <c r="O28" s="16">
        <v>15</v>
      </c>
      <c r="P28" s="16">
        <v>45</v>
      </c>
      <c r="Q28" s="33">
        <f t="shared" si="3"/>
        <v>60</v>
      </c>
      <c r="R28" s="16"/>
      <c r="S28" s="16"/>
      <c r="T28" s="33"/>
      <c r="U28" s="16">
        <v>12</v>
      </c>
      <c r="V28" s="16">
        <v>40</v>
      </c>
      <c r="W28" s="37">
        <f t="shared" si="4"/>
        <v>52</v>
      </c>
      <c r="X28" s="19"/>
      <c r="Y28" s="19"/>
      <c r="Z28" s="19"/>
      <c r="AA28" s="37">
        <f t="shared" si="5"/>
        <v>275</v>
      </c>
      <c r="AB28" s="16" t="s">
        <v>117</v>
      </c>
      <c r="AC28" s="19"/>
    </row>
    <row r="29" spans="1:29" x14ac:dyDescent="0.25">
      <c r="A29" s="3" t="s">
        <v>114</v>
      </c>
      <c r="B29" s="3"/>
      <c r="C29" s="3"/>
      <c r="D29" s="3"/>
      <c r="E29" s="3"/>
      <c r="F29" s="3"/>
      <c r="G29" s="3" t="s">
        <v>468</v>
      </c>
      <c r="H29" s="3"/>
      <c r="I29" s="3"/>
      <c r="J29" s="3"/>
      <c r="K29" s="3"/>
      <c r="L29" s="3"/>
      <c r="M29" s="3"/>
      <c r="N29" s="3"/>
      <c r="O29" s="3" t="s">
        <v>82</v>
      </c>
      <c r="P29" s="3"/>
      <c r="Q29" s="3"/>
      <c r="R29" s="3"/>
      <c r="S29" s="3"/>
      <c r="T29" s="3"/>
      <c r="U29" s="3" t="s">
        <v>83</v>
      </c>
      <c r="V29" s="3"/>
      <c r="W29" s="3"/>
      <c r="X29" s="3"/>
      <c r="Y29" s="3"/>
      <c r="Z29" s="3"/>
      <c r="AA29" s="3"/>
      <c r="AB29" s="3" t="s">
        <v>84</v>
      </c>
      <c r="AC29" s="3"/>
    </row>
    <row r="30" spans="1:29" ht="21.75" customHeight="1" x14ac:dyDescent="0.25">
      <c r="A30" s="3" t="s">
        <v>89</v>
      </c>
      <c r="B30" s="3"/>
      <c r="C30" s="3"/>
      <c r="D30" s="3"/>
      <c r="E30" s="3"/>
      <c r="F30" s="3" t="s">
        <v>90</v>
      </c>
      <c r="G30" s="3"/>
      <c r="H30" s="3"/>
      <c r="I30" s="3"/>
      <c r="J30" s="3"/>
      <c r="K30" s="3"/>
      <c r="L30" s="3"/>
      <c r="M30" s="3"/>
      <c r="N30" s="3" t="s">
        <v>462</v>
      </c>
      <c r="O30" s="3"/>
      <c r="P30" s="3"/>
      <c r="Q30" s="3"/>
      <c r="R30" s="3"/>
      <c r="S30" s="3"/>
      <c r="T30" s="3" t="s">
        <v>463</v>
      </c>
      <c r="U30" s="3"/>
      <c r="V30" s="3"/>
      <c r="W30" s="3"/>
      <c r="X30" s="3"/>
      <c r="Y30" s="3"/>
      <c r="Z30" s="3"/>
      <c r="AA30" s="3"/>
      <c r="AB30" s="3" t="s">
        <v>85</v>
      </c>
      <c r="AC30" s="3"/>
    </row>
    <row r="31" spans="1:29" ht="21.75" customHeight="1" x14ac:dyDescent="0.25">
      <c r="A31" s="3" t="s">
        <v>466</v>
      </c>
      <c r="B31" s="3"/>
      <c r="C31" s="3"/>
      <c r="D31" s="3"/>
      <c r="E31" s="3"/>
      <c r="F31" s="3" t="s">
        <v>91</v>
      </c>
      <c r="G31" s="3"/>
      <c r="H31" s="3"/>
      <c r="I31" s="3"/>
      <c r="J31" s="3"/>
      <c r="K31" s="3"/>
      <c r="L31" s="3"/>
      <c r="M31" s="3"/>
      <c r="N31" s="3" t="s">
        <v>94</v>
      </c>
      <c r="O31" s="3"/>
      <c r="P31" s="3"/>
      <c r="Q31" s="3"/>
      <c r="R31" s="3"/>
      <c r="S31" s="3"/>
      <c r="T31" s="3" t="s">
        <v>97</v>
      </c>
      <c r="U31" s="3"/>
      <c r="V31" s="3"/>
      <c r="W31" s="3"/>
      <c r="X31" s="3"/>
      <c r="Y31" s="3"/>
      <c r="Z31" s="3"/>
      <c r="AA31" s="3"/>
      <c r="AB31" s="3" t="s">
        <v>99</v>
      </c>
      <c r="AC31" s="3"/>
    </row>
    <row r="32" spans="1:29" ht="21.75" customHeight="1" x14ac:dyDescent="0.25">
      <c r="A32" s="3" t="s">
        <v>89</v>
      </c>
      <c r="B32" s="3"/>
      <c r="C32" s="3"/>
      <c r="D32" s="3"/>
      <c r="E32" s="3"/>
      <c r="F32" s="3" t="s">
        <v>92</v>
      </c>
      <c r="G32" s="3"/>
      <c r="H32" s="3"/>
      <c r="I32" s="3"/>
      <c r="J32" s="3"/>
      <c r="K32" s="3"/>
      <c r="L32" s="3"/>
      <c r="M32" s="3"/>
      <c r="N32" s="3" t="s">
        <v>95</v>
      </c>
      <c r="O32" s="3"/>
      <c r="P32" s="3"/>
      <c r="Q32" s="3"/>
      <c r="R32" s="3"/>
      <c r="S32" s="3"/>
      <c r="T32" s="3" t="s">
        <v>98</v>
      </c>
      <c r="U32" s="3"/>
      <c r="V32" s="3"/>
      <c r="W32" s="3"/>
      <c r="X32" s="3"/>
      <c r="Y32" s="3"/>
      <c r="Z32" s="3"/>
      <c r="AA32" s="3"/>
      <c r="AB32" s="3"/>
      <c r="AC32" s="3"/>
    </row>
    <row r="35" spans="1:29" ht="15.6" x14ac:dyDescent="0.3">
      <c r="A35" s="6"/>
      <c r="B35" s="15" t="s">
        <v>494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 t="s">
        <v>467</v>
      </c>
      <c r="N35" s="6"/>
      <c r="O35" s="6"/>
      <c r="P35" s="6"/>
      <c r="Q35" s="6"/>
      <c r="R35" s="6"/>
      <c r="S35" s="6"/>
      <c r="T35" s="6"/>
      <c r="U35" s="6"/>
      <c r="V35" s="6"/>
      <c r="W35" s="5" t="s">
        <v>456</v>
      </c>
      <c r="X35" s="6"/>
      <c r="Y35" s="6"/>
      <c r="Z35" s="6"/>
      <c r="AA35" s="5"/>
      <c r="AB35" s="5"/>
      <c r="AC35" s="1"/>
    </row>
    <row r="36" spans="1:29" ht="15.6" x14ac:dyDescent="0.3">
      <c r="A36" s="6"/>
      <c r="B36" s="15" t="s">
        <v>81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5" t="s">
        <v>100</v>
      </c>
      <c r="X36" s="5"/>
      <c r="Y36" s="6"/>
      <c r="Z36" s="6"/>
      <c r="AA36" s="5"/>
      <c r="AB36" s="5"/>
      <c r="AC36" s="3"/>
    </row>
    <row r="37" spans="1:29" ht="15.6" x14ac:dyDescent="0.3">
      <c r="A37" s="6"/>
      <c r="B37" s="15" t="s">
        <v>459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5" t="s">
        <v>88</v>
      </c>
      <c r="X37" s="5"/>
      <c r="Y37" s="6"/>
      <c r="Z37" s="6"/>
      <c r="AA37" s="5"/>
      <c r="AB37" s="5"/>
      <c r="AC37" s="3"/>
    </row>
    <row r="38" spans="1:29" ht="15.6" x14ac:dyDescent="0.3">
      <c r="A38" s="6"/>
      <c r="B38" s="15" t="s">
        <v>460</v>
      </c>
      <c r="C38" s="6"/>
      <c r="D38" s="6"/>
      <c r="E38" s="6"/>
      <c r="F38" s="6"/>
      <c r="G38" s="6"/>
      <c r="H38" s="6"/>
      <c r="I38" s="6"/>
      <c r="J38" s="6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5" t="s">
        <v>87</v>
      </c>
      <c r="X38" s="5"/>
      <c r="Y38" s="6" t="s">
        <v>118</v>
      </c>
      <c r="Z38" s="6"/>
      <c r="AA38" s="5"/>
      <c r="AB38" s="5"/>
      <c r="AC38" s="3"/>
    </row>
    <row r="39" spans="1:29" ht="15.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5" t="s">
        <v>370</v>
      </c>
      <c r="X39" s="5"/>
      <c r="Y39" s="6"/>
      <c r="Z39" s="6">
        <v>2</v>
      </c>
      <c r="AA39" s="5"/>
      <c r="AB39" s="5"/>
      <c r="AC39" s="3"/>
    </row>
    <row r="40" spans="1:29" ht="15.6" x14ac:dyDescent="0.3">
      <c r="A40" s="6"/>
      <c r="B40" s="6"/>
      <c r="C40" s="5" t="s">
        <v>482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5"/>
      <c r="X40" s="5"/>
      <c r="Y40" s="6"/>
      <c r="Z40" s="6"/>
      <c r="AA40" s="25"/>
      <c r="AB40" s="5"/>
      <c r="AC40" s="5"/>
    </row>
    <row r="41" spans="1:29" ht="15.6" x14ac:dyDescent="0.3">
      <c r="A41" s="57" t="s">
        <v>0</v>
      </c>
      <c r="B41" s="38" t="s">
        <v>469</v>
      </c>
      <c r="C41" s="60" t="s">
        <v>457</v>
      </c>
      <c r="D41" s="61"/>
      <c r="E41" s="62"/>
      <c r="F41" s="60" t="s">
        <v>1</v>
      </c>
      <c r="G41" s="61"/>
      <c r="H41" s="62"/>
      <c r="I41" s="60" t="s">
        <v>2</v>
      </c>
      <c r="J41" s="61"/>
      <c r="K41" s="62"/>
      <c r="L41" s="60" t="s">
        <v>8</v>
      </c>
      <c r="M41" s="61"/>
      <c r="N41" s="62"/>
      <c r="O41" s="60" t="s">
        <v>3</v>
      </c>
      <c r="P41" s="61"/>
      <c r="Q41" s="62"/>
      <c r="R41" s="31"/>
      <c r="S41" s="31" t="s">
        <v>4</v>
      </c>
      <c r="T41" s="31"/>
      <c r="U41" s="60" t="s">
        <v>5</v>
      </c>
      <c r="V41" s="61"/>
      <c r="W41" s="62"/>
      <c r="X41" s="57" t="s">
        <v>16</v>
      </c>
      <c r="Y41" s="57" t="s">
        <v>17</v>
      </c>
      <c r="Z41" s="57" t="s">
        <v>18</v>
      </c>
      <c r="AA41" s="57" t="s">
        <v>19</v>
      </c>
      <c r="AB41" s="57" t="s">
        <v>20</v>
      </c>
      <c r="AC41" s="57" t="s">
        <v>21</v>
      </c>
    </row>
    <row r="42" spans="1:29" ht="55.2" x14ac:dyDescent="0.25">
      <c r="A42" s="58"/>
      <c r="B42" s="35" t="s">
        <v>470</v>
      </c>
      <c r="C42" s="32" t="s">
        <v>6</v>
      </c>
      <c r="D42" s="32" t="s">
        <v>461</v>
      </c>
      <c r="E42" s="32" t="s">
        <v>7</v>
      </c>
      <c r="F42" s="32" t="s">
        <v>6</v>
      </c>
      <c r="G42" s="32" t="s">
        <v>461</v>
      </c>
      <c r="H42" s="32" t="s">
        <v>7</v>
      </c>
      <c r="I42" s="32" t="s">
        <v>6</v>
      </c>
      <c r="J42" s="32" t="s">
        <v>461</v>
      </c>
      <c r="K42" s="32" t="s">
        <v>7</v>
      </c>
      <c r="L42" s="32" t="s">
        <v>6</v>
      </c>
      <c r="M42" s="32" t="s">
        <v>461</v>
      </c>
      <c r="N42" s="32" t="s">
        <v>7</v>
      </c>
      <c r="O42" s="32" t="s">
        <v>6</v>
      </c>
      <c r="P42" s="32" t="s">
        <v>461</v>
      </c>
      <c r="Q42" s="32" t="s">
        <v>7</v>
      </c>
      <c r="R42" s="32" t="s">
        <v>6</v>
      </c>
      <c r="S42" s="32" t="s">
        <v>461</v>
      </c>
      <c r="T42" s="32" t="s">
        <v>7</v>
      </c>
      <c r="U42" s="32" t="s">
        <v>6</v>
      </c>
      <c r="V42" s="32" t="s">
        <v>461</v>
      </c>
      <c r="W42" s="32" t="s">
        <v>7</v>
      </c>
      <c r="X42" s="58"/>
      <c r="Y42" s="58"/>
      <c r="Z42" s="58"/>
      <c r="AA42" s="58"/>
      <c r="AB42" s="58"/>
      <c r="AC42" s="58"/>
    </row>
    <row r="43" spans="1:29" ht="15.6" x14ac:dyDescent="0.3">
      <c r="A43" s="59"/>
      <c r="B43" s="36"/>
      <c r="C43" s="33">
        <v>50</v>
      </c>
      <c r="D43" s="33">
        <v>50</v>
      </c>
      <c r="E43" s="33">
        <v>100</v>
      </c>
      <c r="F43" s="33">
        <v>50</v>
      </c>
      <c r="G43" s="33">
        <v>50</v>
      </c>
      <c r="H43" s="33">
        <v>100</v>
      </c>
      <c r="I43" s="33">
        <v>50</v>
      </c>
      <c r="J43" s="33">
        <v>50</v>
      </c>
      <c r="K43" s="33">
        <v>100</v>
      </c>
      <c r="L43" s="33">
        <v>50</v>
      </c>
      <c r="M43" s="33">
        <v>50</v>
      </c>
      <c r="N43" s="33">
        <v>100</v>
      </c>
      <c r="O43" s="33">
        <v>50</v>
      </c>
      <c r="P43" s="33">
        <v>50</v>
      </c>
      <c r="Q43" s="33">
        <v>100</v>
      </c>
      <c r="R43" s="33">
        <v>50</v>
      </c>
      <c r="S43" s="33">
        <v>50</v>
      </c>
      <c r="T43" s="33">
        <v>100</v>
      </c>
      <c r="U43" s="33">
        <v>50</v>
      </c>
      <c r="V43" s="33">
        <v>50</v>
      </c>
      <c r="W43" s="33">
        <v>100</v>
      </c>
      <c r="X43" s="59"/>
      <c r="Y43" s="59"/>
      <c r="Z43" s="59"/>
      <c r="AA43" s="59"/>
      <c r="AB43" s="59"/>
      <c r="AC43" s="59"/>
    </row>
    <row r="44" spans="1:29" ht="15.6" x14ac:dyDescent="0.3">
      <c r="A44" s="16">
        <v>21</v>
      </c>
      <c r="B44" s="17" t="s">
        <v>113</v>
      </c>
      <c r="C44" s="16">
        <v>50</v>
      </c>
      <c r="D44" s="16">
        <v>50</v>
      </c>
      <c r="E44" s="33">
        <f t="shared" ref="E44:E63" si="6">SUM(C44:D44)</f>
        <v>100</v>
      </c>
      <c r="F44" s="16">
        <v>50</v>
      </c>
      <c r="G44" s="16">
        <v>50</v>
      </c>
      <c r="H44" s="33">
        <f t="shared" ref="H44:H63" si="7">SUM(F44:G44)</f>
        <v>100</v>
      </c>
      <c r="I44" s="16">
        <v>50</v>
      </c>
      <c r="J44" s="16">
        <v>50</v>
      </c>
      <c r="K44" s="33">
        <f t="shared" ref="K44:K63" si="8">SUM(I44:J44)</f>
        <v>100</v>
      </c>
      <c r="L44" s="16"/>
      <c r="M44" s="16"/>
      <c r="N44" s="33"/>
      <c r="O44" s="16">
        <v>50</v>
      </c>
      <c r="P44" s="16">
        <v>45</v>
      </c>
      <c r="Q44" s="33">
        <f t="shared" ref="Q44:Q63" si="9">SUM(O44:P44)</f>
        <v>95</v>
      </c>
      <c r="R44" s="16"/>
      <c r="S44" s="16"/>
      <c r="T44" s="33"/>
      <c r="U44" s="16">
        <v>50</v>
      </c>
      <c r="V44" s="16">
        <v>50</v>
      </c>
      <c r="W44" s="37">
        <f t="shared" ref="W44:W63" si="10">SUM(U44:V44)</f>
        <v>100</v>
      </c>
      <c r="X44" s="18"/>
      <c r="Y44" s="19"/>
      <c r="Z44" s="19"/>
      <c r="AA44" s="37">
        <f t="shared" ref="AA44:AA63" si="11">SUM(W44,Q44,K44,H44,E44)</f>
        <v>495</v>
      </c>
      <c r="AB44" s="16" t="s">
        <v>117</v>
      </c>
      <c r="AC44" s="19"/>
    </row>
    <row r="45" spans="1:29" ht="15.6" x14ac:dyDescent="0.3">
      <c r="A45" s="16">
        <v>22</v>
      </c>
      <c r="B45" s="17" t="s">
        <v>60</v>
      </c>
      <c r="C45" s="16">
        <v>49</v>
      </c>
      <c r="D45" s="16">
        <v>50</v>
      </c>
      <c r="E45" s="33">
        <f t="shared" si="6"/>
        <v>99</v>
      </c>
      <c r="F45" s="16">
        <v>49</v>
      </c>
      <c r="G45" s="16">
        <v>50</v>
      </c>
      <c r="H45" s="33">
        <f t="shared" si="7"/>
        <v>99</v>
      </c>
      <c r="I45" s="16">
        <v>41</v>
      </c>
      <c r="J45" s="16">
        <v>49</v>
      </c>
      <c r="K45" s="33">
        <f t="shared" si="8"/>
        <v>90</v>
      </c>
      <c r="L45" s="16"/>
      <c r="M45" s="16"/>
      <c r="N45" s="33"/>
      <c r="O45" s="16">
        <v>48</v>
      </c>
      <c r="P45" s="16">
        <v>45</v>
      </c>
      <c r="Q45" s="33">
        <f t="shared" si="9"/>
        <v>93</v>
      </c>
      <c r="R45" s="16"/>
      <c r="S45" s="16"/>
      <c r="T45" s="33"/>
      <c r="U45" s="16">
        <v>49</v>
      </c>
      <c r="V45" s="16">
        <v>48</v>
      </c>
      <c r="W45" s="37">
        <f t="shared" si="10"/>
        <v>97</v>
      </c>
      <c r="X45" s="18"/>
      <c r="Y45" s="19"/>
      <c r="Z45" s="19"/>
      <c r="AA45" s="37">
        <f t="shared" si="11"/>
        <v>478</v>
      </c>
      <c r="AB45" s="16" t="s">
        <v>117</v>
      </c>
      <c r="AC45" s="19"/>
    </row>
    <row r="46" spans="1:29" ht="15.6" x14ac:dyDescent="0.3">
      <c r="A46" s="16">
        <v>23</v>
      </c>
      <c r="B46" s="17" t="s">
        <v>61</v>
      </c>
      <c r="C46" s="16">
        <v>32</v>
      </c>
      <c r="D46" s="16">
        <v>40</v>
      </c>
      <c r="E46" s="33">
        <f t="shared" si="6"/>
        <v>72</v>
      </c>
      <c r="F46" s="16">
        <v>42</v>
      </c>
      <c r="G46" s="16">
        <v>10</v>
      </c>
      <c r="H46" s="33">
        <f t="shared" si="7"/>
        <v>52</v>
      </c>
      <c r="I46" s="16">
        <v>25</v>
      </c>
      <c r="J46" s="16">
        <v>25</v>
      </c>
      <c r="K46" s="33">
        <f t="shared" si="8"/>
        <v>50</v>
      </c>
      <c r="L46" s="16"/>
      <c r="M46" s="16"/>
      <c r="N46" s="33"/>
      <c r="O46" s="16">
        <v>31</v>
      </c>
      <c r="P46" s="16">
        <v>23</v>
      </c>
      <c r="Q46" s="33">
        <f t="shared" si="9"/>
        <v>54</v>
      </c>
      <c r="R46" s="16"/>
      <c r="S46" s="16"/>
      <c r="T46" s="33"/>
      <c r="U46" s="16">
        <v>42</v>
      </c>
      <c r="V46" s="16">
        <v>20</v>
      </c>
      <c r="W46" s="37">
        <f t="shared" si="10"/>
        <v>62</v>
      </c>
      <c r="X46" s="18"/>
      <c r="Y46" s="19"/>
      <c r="Z46" s="19"/>
      <c r="AA46" s="37">
        <f t="shared" si="11"/>
        <v>290</v>
      </c>
      <c r="AB46" s="16" t="s">
        <v>117</v>
      </c>
      <c r="AC46" s="19"/>
    </row>
    <row r="47" spans="1:29" ht="15.6" x14ac:dyDescent="0.3">
      <c r="A47" s="16">
        <v>24</v>
      </c>
      <c r="B47" s="17" t="s">
        <v>62</v>
      </c>
      <c r="C47" s="16">
        <v>50</v>
      </c>
      <c r="D47" s="16">
        <v>45</v>
      </c>
      <c r="E47" s="33">
        <f t="shared" si="6"/>
        <v>95</v>
      </c>
      <c r="F47" s="16">
        <v>50</v>
      </c>
      <c r="G47" s="16">
        <v>48</v>
      </c>
      <c r="H47" s="33">
        <f t="shared" si="7"/>
        <v>98</v>
      </c>
      <c r="I47" s="16">
        <v>46</v>
      </c>
      <c r="J47" s="16">
        <v>40</v>
      </c>
      <c r="K47" s="33">
        <f t="shared" si="8"/>
        <v>86</v>
      </c>
      <c r="L47" s="16"/>
      <c r="M47" s="16"/>
      <c r="N47" s="33"/>
      <c r="O47" s="16">
        <v>46</v>
      </c>
      <c r="P47" s="16">
        <v>50</v>
      </c>
      <c r="Q47" s="33">
        <f t="shared" si="9"/>
        <v>96</v>
      </c>
      <c r="R47" s="16"/>
      <c r="S47" s="16"/>
      <c r="T47" s="33"/>
      <c r="U47" s="16">
        <v>50</v>
      </c>
      <c r="V47" s="16">
        <v>50</v>
      </c>
      <c r="W47" s="37">
        <f t="shared" si="10"/>
        <v>100</v>
      </c>
      <c r="X47" s="18"/>
      <c r="Y47" s="19"/>
      <c r="Z47" s="19"/>
      <c r="AA47" s="37">
        <f t="shared" si="11"/>
        <v>475</v>
      </c>
      <c r="AB47" s="16" t="s">
        <v>117</v>
      </c>
      <c r="AC47" s="19"/>
    </row>
    <row r="48" spans="1:29" ht="15.6" x14ac:dyDescent="0.3">
      <c r="A48" s="16">
        <v>25</v>
      </c>
      <c r="B48" s="17" t="s">
        <v>63</v>
      </c>
      <c r="C48" s="16">
        <v>50</v>
      </c>
      <c r="D48" s="16">
        <v>45</v>
      </c>
      <c r="E48" s="33">
        <f t="shared" si="6"/>
        <v>95</v>
      </c>
      <c r="F48" s="16">
        <v>47</v>
      </c>
      <c r="G48" s="16">
        <v>44</v>
      </c>
      <c r="H48" s="33">
        <f t="shared" si="7"/>
        <v>91</v>
      </c>
      <c r="I48" s="16">
        <v>29</v>
      </c>
      <c r="J48" s="16">
        <v>42</v>
      </c>
      <c r="K48" s="33">
        <f t="shared" si="8"/>
        <v>71</v>
      </c>
      <c r="L48" s="16"/>
      <c r="M48" s="16"/>
      <c r="N48" s="33"/>
      <c r="O48" s="16">
        <v>45</v>
      </c>
      <c r="P48" s="16">
        <v>38</v>
      </c>
      <c r="Q48" s="33">
        <f t="shared" si="9"/>
        <v>83</v>
      </c>
      <c r="R48" s="16"/>
      <c r="S48" s="16"/>
      <c r="T48" s="33"/>
      <c r="U48" s="16">
        <v>46</v>
      </c>
      <c r="V48" s="16">
        <v>45</v>
      </c>
      <c r="W48" s="37">
        <f t="shared" si="10"/>
        <v>91</v>
      </c>
      <c r="X48" s="18"/>
      <c r="Y48" s="19"/>
      <c r="Z48" s="19"/>
      <c r="AA48" s="37">
        <f t="shared" si="11"/>
        <v>431</v>
      </c>
      <c r="AB48" s="16" t="s">
        <v>117</v>
      </c>
      <c r="AC48" s="19"/>
    </row>
    <row r="49" spans="1:29" ht="15.6" x14ac:dyDescent="0.3">
      <c r="A49" s="16">
        <v>26</v>
      </c>
      <c r="B49" s="17" t="s">
        <v>64</v>
      </c>
      <c r="C49" s="16">
        <v>43</v>
      </c>
      <c r="D49" s="16">
        <v>26</v>
      </c>
      <c r="E49" s="33">
        <f t="shared" si="6"/>
        <v>69</v>
      </c>
      <c r="F49" s="16">
        <v>28</v>
      </c>
      <c r="G49" s="16">
        <v>25</v>
      </c>
      <c r="H49" s="33">
        <f t="shared" si="7"/>
        <v>53</v>
      </c>
      <c r="I49" s="16">
        <v>27</v>
      </c>
      <c r="J49" s="16">
        <v>40</v>
      </c>
      <c r="K49" s="33">
        <f t="shared" si="8"/>
        <v>67</v>
      </c>
      <c r="L49" s="16"/>
      <c r="M49" s="16"/>
      <c r="N49" s="33"/>
      <c r="O49" s="16">
        <v>41</v>
      </c>
      <c r="P49" s="16">
        <v>29</v>
      </c>
      <c r="Q49" s="33">
        <f t="shared" si="9"/>
        <v>70</v>
      </c>
      <c r="R49" s="16"/>
      <c r="S49" s="16"/>
      <c r="T49" s="33"/>
      <c r="U49" s="16">
        <v>25</v>
      </c>
      <c r="V49" s="16">
        <v>28</v>
      </c>
      <c r="W49" s="37">
        <f t="shared" si="10"/>
        <v>53</v>
      </c>
      <c r="X49" s="18"/>
      <c r="Y49" s="19"/>
      <c r="Z49" s="19"/>
      <c r="AA49" s="37">
        <f t="shared" si="11"/>
        <v>312</v>
      </c>
      <c r="AB49" s="16" t="s">
        <v>117</v>
      </c>
      <c r="AC49" s="19"/>
    </row>
    <row r="50" spans="1:29" ht="15.6" x14ac:dyDescent="0.3">
      <c r="A50" s="16">
        <v>27</v>
      </c>
      <c r="B50" s="17" t="s">
        <v>495</v>
      </c>
      <c r="C50" s="16">
        <v>49</v>
      </c>
      <c r="D50" s="16">
        <v>35</v>
      </c>
      <c r="E50" s="33">
        <f t="shared" si="6"/>
        <v>84</v>
      </c>
      <c r="F50" s="16">
        <v>47</v>
      </c>
      <c r="G50" s="16">
        <v>41</v>
      </c>
      <c r="H50" s="33">
        <f t="shared" si="7"/>
        <v>88</v>
      </c>
      <c r="I50" s="16">
        <v>46</v>
      </c>
      <c r="J50" s="16">
        <v>44</v>
      </c>
      <c r="K50" s="33">
        <f t="shared" si="8"/>
        <v>90</v>
      </c>
      <c r="L50" s="16"/>
      <c r="M50" s="16"/>
      <c r="N50" s="33"/>
      <c r="O50" s="16">
        <v>43</v>
      </c>
      <c r="P50" s="16">
        <v>45</v>
      </c>
      <c r="Q50" s="33">
        <f t="shared" si="9"/>
        <v>88</v>
      </c>
      <c r="R50" s="16"/>
      <c r="S50" s="16"/>
      <c r="T50" s="33"/>
      <c r="U50" s="16">
        <v>46</v>
      </c>
      <c r="V50" s="16">
        <v>38</v>
      </c>
      <c r="W50" s="37">
        <f t="shared" si="10"/>
        <v>84</v>
      </c>
      <c r="X50" s="18"/>
      <c r="Y50" s="19"/>
      <c r="Z50" s="19"/>
      <c r="AA50" s="37">
        <f t="shared" si="11"/>
        <v>434</v>
      </c>
      <c r="AB50" s="16" t="s">
        <v>117</v>
      </c>
      <c r="AC50" s="19"/>
    </row>
    <row r="51" spans="1:29" ht="15.6" x14ac:dyDescent="0.3">
      <c r="A51" s="16">
        <v>28</v>
      </c>
      <c r="B51" s="17" t="s">
        <v>496</v>
      </c>
      <c r="C51" s="16">
        <v>48</v>
      </c>
      <c r="D51" s="16">
        <v>48</v>
      </c>
      <c r="E51" s="33">
        <f t="shared" si="6"/>
        <v>96</v>
      </c>
      <c r="F51" s="16">
        <v>49</v>
      </c>
      <c r="G51" s="16">
        <v>33</v>
      </c>
      <c r="H51" s="33">
        <f t="shared" si="7"/>
        <v>82</v>
      </c>
      <c r="I51" s="16">
        <v>28</v>
      </c>
      <c r="J51" s="16">
        <v>40</v>
      </c>
      <c r="K51" s="33">
        <f t="shared" si="8"/>
        <v>68</v>
      </c>
      <c r="L51" s="16"/>
      <c r="M51" s="16"/>
      <c r="N51" s="33"/>
      <c r="O51" s="16">
        <v>28</v>
      </c>
      <c r="P51" s="16">
        <v>32</v>
      </c>
      <c r="Q51" s="33">
        <f t="shared" si="9"/>
        <v>60</v>
      </c>
      <c r="R51" s="16"/>
      <c r="S51" s="16"/>
      <c r="T51" s="33"/>
      <c r="U51" s="16">
        <v>50</v>
      </c>
      <c r="V51" s="16">
        <v>36</v>
      </c>
      <c r="W51" s="37">
        <f t="shared" si="10"/>
        <v>86</v>
      </c>
      <c r="X51" s="18"/>
      <c r="Y51" s="19"/>
      <c r="Z51" s="19"/>
      <c r="AA51" s="37">
        <f t="shared" si="11"/>
        <v>392</v>
      </c>
      <c r="AB51" s="16" t="s">
        <v>117</v>
      </c>
      <c r="AC51" s="19"/>
    </row>
    <row r="52" spans="1:29" ht="15.6" x14ac:dyDescent="0.3">
      <c r="A52" s="16">
        <v>29</v>
      </c>
      <c r="B52" s="17" t="s">
        <v>473</v>
      </c>
      <c r="C52" s="16">
        <v>50</v>
      </c>
      <c r="D52" s="16">
        <v>50</v>
      </c>
      <c r="E52" s="33">
        <f t="shared" si="6"/>
        <v>100</v>
      </c>
      <c r="F52" s="16">
        <v>50</v>
      </c>
      <c r="G52" s="16">
        <v>50</v>
      </c>
      <c r="H52" s="33">
        <f t="shared" si="7"/>
        <v>100</v>
      </c>
      <c r="I52" s="16">
        <v>48</v>
      </c>
      <c r="J52" s="16">
        <v>43</v>
      </c>
      <c r="K52" s="33">
        <f t="shared" si="8"/>
        <v>91</v>
      </c>
      <c r="L52" s="16"/>
      <c r="M52" s="16"/>
      <c r="N52" s="33"/>
      <c r="O52" s="16">
        <v>49</v>
      </c>
      <c r="P52" s="16">
        <v>44</v>
      </c>
      <c r="Q52" s="33">
        <f t="shared" si="9"/>
        <v>93</v>
      </c>
      <c r="R52" s="16"/>
      <c r="S52" s="16"/>
      <c r="T52" s="33"/>
      <c r="U52" s="16">
        <v>50</v>
      </c>
      <c r="V52" s="16">
        <v>50</v>
      </c>
      <c r="W52" s="37">
        <f t="shared" si="10"/>
        <v>100</v>
      </c>
      <c r="X52" s="18"/>
      <c r="Y52" s="19"/>
      <c r="Z52" s="19"/>
      <c r="AA52" s="37">
        <f t="shared" si="11"/>
        <v>484</v>
      </c>
      <c r="AB52" s="16" t="s">
        <v>117</v>
      </c>
      <c r="AC52" s="19"/>
    </row>
    <row r="53" spans="1:29" ht="15.6" x14ac:dyDescent="0.3">
      <c r="A53" s="16">
        <v>30</v>
      </c>
      <c r="B53" s="17" t="s">
        <v>65</v>
      </c>
      <c r="C53" s="16">
        <v>48</v>
      </c>
      <c r="D53" s="16">
        <v>50</v>
      </c>
      <c r="E53" s="33">
        <f t="shared" si="6"/>
        <v>98</v>
      </c>
      <c r="F53" s="16">
        <v>48</v>
      </c>
      <c r="G53" s="16">
        <v>46</v>
      </c>
      <c r="H53" s="33">
        <f t="shared" si="7"/>
        <v>94</v>
      </c>
      <c r="I53" s="16">
        <v>39</v>
      </c>
      <c r="J53" s="16">
        <v>48</v>
      </c>
      <c r="K53" s="33">
        <f t="shared" si="8"/>
        <v>87</v>
      </c>
      <c r="L53" s="16"/>
      <c r="M53" s="16"/>
      <c r="N53" s="33"/>
      <c r="O53" s="16">
        <v>43</v>
      </c>
      <c r="P53" s="16">
        <v>37</v>
      </c>
      <c r="Q53" s="33">
        <f t="shared" si="9"/>
        <v>80</v>
      </c>
      <c r="R53" s="16"/>
      <c r="S53" s="16"/>
      <c r="T53" s="33"/>
      <c r="U53" s="16">
        <v>50</v>
      </c>
      <c r="V53" s="16">
        <v>39</v>
      </c>
      <c r="W53" s="37">
        <f t="shared" si="10"/>
        <v>89</v>
      </c>
      <c r="X53" s="18"/>
      <c r="Y53" s="19"/>
      <c r="Z53" s="19"/>
      <c r="AA53" s="37">
        <f t="shared" si="11"/>
        <v>448</v>
      </c>
      <c r="AB53" s="16" t="s">
        <v>117</v>
      </c>
      <c r="AC53" s="19"/>
    </row>
    <row r="54" spans="1:29" ht="15.6" x14ac:dyDescent="0.3">
      <c r="A54" s="16">
        <v>31</v>
      </c>
      <c r="B54" s="17" t="s">
        <v>66</v>
      </c>
      <c r="C54" s="16">
        <v>50</v>
      </c>
      <c r="D54" s="16">
        <v>50</v>
      </c>
      <c r="E54" s="33">
        <f t="shared" si="6"/>
        <v>100</v>
      </c>
      <c r="F54" s="16">
        <v>50</v>
      </c>
      <c r="G54" s="16">
        <v>50</v>
      </c>
      <c r="H54" s="33">
        <f t="shared" si="7"/>
        <v>100</v>
      </c>
      <c r="I54" s="16">
        <v>46</v>
      </c>
      <c r="J54" s="16">
        <v>50</v>
      </c>
      <c r="K54" s="33">
        <f t="shared" si="8"/>
        <v>96</v>
      </c>
      <c r="L54" s="16"/>
      <c r="M54" s="16"/>
      <c r="N54" s="33"/>
      <c r="O54" s="16">
        <v>42</v>
      </c>
      <c r="P54" s="16">
        <v>45</v>
      </c>
      <c r="Q54" s="33">
        <f t="shared" si="9"/>
        <v>87</v>
      </c>
      <c r="R54" s="16"/>
      <c r="S54" s="16"/>
      <c r="T54" s="33"/>
      <c r="U54" s="16">
        <v>50</v>
      </c>
      <c r="V54" s="16">
        <v>50</v>
      </c>
      <c r="W54" s="37">
        <f t="shared" si="10"/>
        <v>100</v>
      </c>
      <c r="X54" s="18"/>
      <c r="Y54" s="19"/>
      <c r="Z54" s="19"/>
      <c r="AA54" s="37">
        <f t="shared" si="11"/>
        <v>483</v>
      </c>
      <c r="AB54" s="16" t="s">
        <v>117</v>
      </c>
      <c r="AC54" s="19"/>
    </row>
    <row r="55" spans="1:29" ht="15.6" x14ac:dyDescent="0.3">
      <c r="A55" s="16">
        <v>32</v>
      </c>
      <c r="B55" s="17" t="s">
        <v>67</v>
      </c>
      <c r="C55" s="16">
        <v>30</v>
      </c>
      <c r="D55" s="16">
        <v>42</v>
      </c>
      <c r="E55" s="33">
        <f t="shared" si="6"/>
        <v>72</v>
      </c>
      <c r="F55" s="16">
        <v>30</v>
      </c>
      <c r="G55" s="16">
        <v>28</v>
      </c>
      <c r="H55" s="33">
        <f t="shared" si="7"/>
        <v>58</v>
      </c>
      <c r="I55" s="16">
        <v>30</v>
      </c>
      <c r="J55" s="16">
        <v>32</v>
      </c>
      <c r="K55" s="33">
        <f t="shared" si="8"/>
        <v>62</v>
      </c>
      <c r="L55" s="16"/>
      <c r="M55" s="16"/>
      <c r="N55" s="33"/>
      <c r="O55" s="16">
        <v>39</v>
      </c>
      <c r="P55" s="16">
        <v>28</v>
      </c>
      <c r="Q55" s="33">
        <f t="shared" si="9"/>
        <v>67</v>
      </c>
      <c r="R55" s="16"/>
      <c r="S55" s="16"/>
      <c r="T55" s="33"/>
      <c r="U55" s="16">
        <v>36</v>
      </c>
      <c r="V55" s="16">
        <v>29</v>
      </c>
      <c r="W55" s="37">
        <f t="shared" si="10"/>
        <v>65</v>
      </c>
      <c r="X55" s="18"/>
      <c r="Y55" s="19"/>
      <c r="Z55" s="19"/>
      <c r="AA55" s="37">
        <f t="shared" si="11"/>
        <v>324</v>
      </c>
      <c r="AB55" s="16" t="s">
        <v>117</v>
      </c>
      <c r="AC55" s="19"/>
    </row>
    <row r="56" spans="1:29" ht="15.6" x14ac:dyDescent="0.3">
      <c r="A56" s="16">
        <v>33</v>
      </c>
      <c r="B56" s="17" t="s">
        <v>70</v>
      </c>
      <c r="C56" s="16">
        <v>48</v>
      </c>
      <c r="D56" s="16">
        <v>50</v>
      </c>
      <c r="E56" s="33">
        <f t="shared" si="6"/>
        <v>98</v>
      </c>
      <c r="F56" s="16">
        <v>49</v>
      </c>
      <c r="G56" s="16">
        <v>50</v>
      </c>
      <c r="H56" s="33">
        <f t="shared" si="7"/>
        <v>99</v>
      </c>
      <c r="I56" s="16">
        <v>50</v>
      </c>
      <c r="J56" s="16">
        <v>50</v>
      </c>
      <c r="K56" s="33">
        <f t="shared" si="8"/>
        <v>100</v>
      </c>
      <c r="L56" s="16"/>
      <c r="M56" s="16"/>
      <c r="N56" s="33"/>
      <c r="O56" s="16">
        <v>45</v>
      </c>
      <c r="P56" s="16">
        <v>44</v>
      </c>
      <c r="Q56" s="33">
        <f t="shared" si="9"/>
        <v>89</v>
      </c>
      <c r="R56" s="16"/>
      <c r="S56" s="16"/>
      <c r="T56" s="33"/>
      <c r="U56" s="16">
        <v>50</v>
      </c>
      <c r="V56" s="16">
        <v>50</v>
      </c>
      <c r="W56" s="37">
        <f t="shared" si="10"/>
        <v>100</v>
      </c>
      <c r="X56" s="18"/>
      <c r="Y56" s="19"/>
      <c r="Z56" s="19"/>
      <c r="AA56" s="37">
        <f t="shared" si="11"/>
        <v>486</v>
      </c>
      <c r="AB56" s="16" t="s">
        <v>117</v>
      </c>
      <c r="AC56" s="19"/>
    </row>
    <row r="57" spans="1:29" ht="15.6" x14ac:dyDescent="0.3">
      <c r="A57" s="16">
        <v>34</v>
      </c>
      <c r="B57" s="17" t="s">
        <v>71</v>
      </c>
      <c r="C57" s="16">
        <v>47</v>
      </c>
      <c r="D57" s="16">
        <v>35</v>
      </c>
      <c r="E57" s="33">
        <f t="shared" si="6"/>
        <v>82</v>
      </c>
      <c r="F57" s="16">
        <v>49</v>
      </c>
      <c r="G57" s="16">
        <v>44</v>
      </c>
      <c r="H57" s="33">
        <f t="shared" si="7"/>
        <v>93</v>
      </c>
      <c r="I57" s="16">
        <v>38</v>
      </c>
      <c r="J57" s="16">
        <v>41</v>
      </c>
      <c r="K57" s="33">
        <f t="shared" si="8"/>
        <v>79</v>
      </c>
      <c r="L57" s="16"/>
      <c r="M57" s="16"/>
      <c r="N57" s="33"/>
      <c r="O57" s="16">
        <v>44</v>
      </c>
      <c r="P57" s="16">
        <v>38</v>
      </c>
      <c r="Q57" s="33">
        <f t="shared" si="9"/>
        <v>82</v>
      </c>
      <c r="R57" s="16"/>
      <c r="S57" s="16"/>
      <c r="T57" s="33"/>
      <c r="U57" s="16">
        <v>46</v>
      </c>
      <c r="V57" s="16">
        <v>49</v>
      </c>
      <c r="W57" s="37">
        <f t="shared" si="10"/>
        <v>95</v>
      </c>
      <c r="X57" s="18"/>
      <c r="Y57" s="19"/>
      <c r="Z57" s="19"/>
      <c r="AA57" s="37">
        <f t="shared" si="11"/>
        <v>431</v>
      </c>
      <c r="AB57" s="16" t="s">
        <v>117</v>
      </c>
      <c r="AC57" s="19"/>
    </row>
    <row r="58" spans="1:29" ht="15.6" x14ac:dyDescent="0.3">
      <c r="A58" s="16">
        <v>35</v>
      </c>
      <c r="B58" s="17" t="s">
        <v>474</v>
      </c>
      <c r="C58" s="16">
        <v>48</v>
      </c>
      <c r="D58" s="16">
        <v>45</v>
      </c>
      <c r="E58" s="33">
        <f t="shared" si="6"/>
        <v>93</v>
      </c>
      <c r="F58" s="16">
        <v>37</v>
      </c>
      <c r="G58" s="16">
        <v>28</v>
      </c>
      <c r="H58" s="33">
        <f t="shared" si="7"/>
        <v>65</v>
      </c>
      <c r="I58" s="16">
        <v>30</v>
      </c>
      <c r="J58" s="16">
        <v>30</v>
      </c>
      <c r="K58" s="33">
        <f t="shared" si="8"/>
        <v>60</v>
      </c>
      <c r="L58" s="16"/>
      <c r="M58" s="16"/>
      <c r="N58" s="33"/>
      <c r="O58" s="16">
        <v>45</v>
      </c>
      <c r="P58" s="16">
        <v>30</v>
      </c>
      <c r="Q58" s="33">
        <f t="shared" si="9"/>
        <v>75</v>
      </c>
      <c r="R58" s="16"/>
      <c r="S58" s="16"/>
      <c r="T58" s="33"/>
      <c r="U58" s="16">
        <v>37</v>
      </c>
      <c r="V58" s="16">
        <v>31</v>
      </c>
      <c r="W58" s="37">
        <f t="shared" si="10"/>
        <v>68</v>
      </c>
      <c r="X58" s="18"/>
      <c r="Y58" s="19"/>
      <c r="Z58" s="19"/>
      <c r="AA58" s="37">
        <f t="shared" si="11"/>
        <v>361</v>
      </c>
      <c r="AB58" s="16" t="s">
        <v>117</v>
      </c>
      <c r="AC58" s="19"/>
    </row>
    <row r="59" spans="1:29" ht="15.6" x14ac:dyDescent="0.3">
      <c r="A59" s="16">
        <v>36</v>
      </c>
      <c r="B59" s="17" t="s">
        <v>68</v>
      </c>
      <c r="C59" s="16">
        <v>19</v>
      </c>
      <c r="D59" s="16">
        <v>31</v>
      </c>
      <c r="E59" s="33">
        <f t="shared" si="6"/>
        <v>50</v>
      </c>
      <c r="F59" s="16">
        <v>19</v>
      </c>
      <c r="G59" s="16">
        <v>31</v>
      </c>
      <c r="H59" s="33">
        <f t="shared" si="7"/>
        <v>50</v>
      </c>
      <c r="I59" s="16">
        <v>28</v>
      </c>
      <c r="J59" s="16">
        <v>29</v>
      </c>
      <c r="K59" s="33">
        <f t="shared" si="8"/>
        <v>57</v>
      </c>
      <c r="L59" s="16"/>
      <c r="M59" s="16"/>
      <c r="N59" s="33"/>
      <c r="O59" s="16">
        <v>27</v>
      </c>
      <c r="P59" s="16">
        <v>27</v>
      </c>
      <c r="Q59" s="33">
        <f t="shared" si="9"/>
        <v>54</v>
      </c>
      <c r="R59" s="16"/>
      <c r="S59" s="16"/>
      <c r="T59" s="33"/>
      <c r="U59" s="16">
        <v>19</v>
      </c>
      <c r="V59" s="16">
        <v>32</v>
      </c>
      <c r="W59" s="37">
        <f t="shared" si="10"/>
        <v>51</v>
      </c>
      <c r="X59" s="18"/>
      <c r="Y59" s="19"/>
      <c r="Z59" s="19"/>
      <c r="AA59" s="37">
        <f t="shared" si="11"/>
        <v>262</v>
      </c>
      <c r="AB59" s="16" t="s">
        <v>117</v>
      </c>
      <c r="AC59" s="19"/>
    </row>
    <row r="60" spans="1:29" ht="15.6" x14ac:dyDescent="0.3">
      <c r="A60" s="16">
        <v>37</v>
      </c>
      <c r="B60" s="17" t="s">
        <v>69</v>
      </c>
      <c r="C60" s="16">
        <v>50</v>
      </c>
      <c r="D60" s="16">
        <v>50</v>
      </c>
      <c r="E60" s="33">
        <f t="shared" si="6"/>
        <v>100</v>
      </c>
      <c r="F60" s="16">
        <v>50</v>
      </c>
      <c r="G60" s="16">
        <v>50</v>
      </c>
      <c r="H60" s="33">
        <f t="shared" si="7"/>
        <v>100</v>
      </c>
      <c r="I60" s="16">
        <v>49</v>
      </c>
      <c r="J60" s="16">
        <v>50</v>
      </c>
      <c r="K60" s="33">
        <f t="shared" si="8"/>
        <v>99</v>
      </c>
      <c r="L60" s="16"/>
      <c r="M60" s="16"/>
      <c r="N60" s="33"/>
      <c r="O60" s="16">
        <v>50</v>
      </c>
      <c r="P60" s="16">
        <v>50</v>
      </c>
      <c r="Q60" s="33">
        <f t="shared" si="9"/>
        <v>100</v>
      </c>
      <c r="R60" s="16"/>
      <c r="S60" s="16"/>
      <c r="T60" s="33"/>
      <c r="U60" s="16">
        <v>50</v>
      </c>
      <c r="V60" s="16">
        <v>49</v>
      </c>
      <c r="W60" s="37">
        <f t="shared" si="10"/>
        <v>99</v>
      </c>
      <c r="X60" s="18"/>
      <c r="Y60" s="19"/>
      <c r="Z60" s="19"/>
      <c r="AA60" s="37">
        <f t="shared" si="11"/>
        <v>498</v>
      </c>
      <c r="AB60" s="16" t="s">
        <v>117</v>
      </c>
      <c r="AC60" s="19"/>
    </row>
    <row r="61" spans="1:29" ht="15.6" x14ac:dyDescent="0.3">
      <c r="A61" s="16">
        <v>38</v>
      </c>
      <c r="B61" s="17" t="s">
        <v>638</v>
      </c>
      <c r="C61" s="16">
        <v>48</v>
      </c>
      <c r="D61" s="16">
        <v>25</v>
      </c>
      <c r="E61" s="33">
        <f t="shared" si="6"/>
        <v>73</v>
      </c>
      <c r="F61" s="16">
        <v>46</v>
      </c>
      <c r="G61" s="16">
        <v>26</v>
      </c>
      <c r="H61" s="33">
        <f t="shared" si="7"/>
        <v>72</v>
      </c>
      <c r="I61" s="16">
        <v>25</v>
      </c>
      <c r="J61" s="16">
        <v>35</v>
      </c>
      <c r="K61" s="33">
        <f t="shared" si="8"/>
        <v>60</v>
      </c>
      <c r="L61" s="16"/>
      <c r="M61" s="16"/>
      <c r="N61" s="33"/>
      <c r="O61" s="16">
        <v>25</v>
      </c>
      <c r="P61" s="16">
        <v>27</v>
      </c>
      <c r="Q61" s="33">
        <f t="shared" si="9"/>
        <v>52</v>
      </c>
      <c r="R61" s="16"/>
      <c r="S61" s="16"/>
      <c r="T61" s="33"/>
      <c r="U61" s="16">
        <v>32</v>
      </c>
      <c r="V61" s="16">
        <v>30</v>
      </c>
      <c r="W61" s="37">
        <f t="shared" si="10"/>
        <v>62</v>
      </c>
      <c r="X61" s="18"/>
      <c r="Y61" s="19"/>
      <c r="Z61" s="19"/>
      <c r="AA61" s="37">
        <f t="shared" si="11"/>
        <v>319</v>
      </c>
      <c r="AB61" s="16" t="s">
        <v>117</v>
      </c>
      <c r="AC61" s="19"/>
    </row>
    <row r="62" spans="1:29" ht="15.6" x14ac:dyDescent="0.3">
      <c r="A62" s="16">
        <v>39</v>
      </c>
      <c r="B62" s="17" t="s">
        <v>72</v>
      </c>
      <c r="C62" s="16">
        <v>50</v>
      </c>
      <c r="D62" s="16">
        <v>50</v>
      </c>
      <c r="E62" s="33">
        <f t="shared" si="6"/>
        <v>100</v>
      </c>
      <c r="F62" s="16">
        <v>48</v>
      </c>
      <c r="G62" s="16">
        <v>50</v>
      </c>
      <c r="H62" s="33">
        <f t="shared" si="7"/>
        <v>98</v>
      </c>
      <c r="I62" s="16">
        <v>44</v>
      </c>
      <c r="J62" s="16">
        <v>49</v>
      </c>
      <c r="K62" s="33">
        <f t="shared" si="8"/>
        <v>93</v>
      </c>
      <c r="L62" s="16"/>
      <c r="M62" s="16"/>
      <c r="N62" s="33"/>
      <c r="O62" s="16">
        <v>50</v>
      </c>
      <c r="P62" s="16">
        <v>49</v>
      </c>
      <c r="Q62" s="33">
        <f t="shared" si="9"/>
        <v>99</v>
      </c>
      <c r="R62" s="16"/>
      <c r="S62" s="16"/>
      <c r="T62" s="33"/>
      <c r="U62" s="16">
        <v>50</v>
      </c>
      <c r="V62" s="16">
        <v>49</v>
      </c>
      <c r="W62" s="37">
        <f t="shared" si="10"/>
        <v>99</v>
      </c>
      <c r="X62" s="18"/>
      <c r="Y62" s="19"/>
      <c r="Z62" s="19"/>
      <c r="AA62" s="37">
        <f t="shared" si="11"/>
        <v>489</v>
      </c>
      <c r="AB62" s="16" t="s">
        <v>117</v>
      </c>
      <c r="AC62" s="19"/>
    </row>
    <row r="63" spans="1:29" ht="15.6" x14ac:dyDescent="0.3">
      <c r="A63" s="16">
        <v>40</v>
      </c>
      <c r="B63" s="17" t="s">
        <v>73</v>
      </c>
      <c r="C63" s="16">
        <v>46</v>
      </c>
      <c r="D63" s="16">
        <v>27</v>
      </c>
      <c r="E63" s="33">
        <f t="shared" si="6"/>
        <v>73</v>
      </c>
      <c r="F63" s="16">
        <v>45</v>
      </c>
      <c r="G63" s="16">
        <v>34</v>
      </c>
      <c r="H63" s="33">
        <f t="shared" si="7"/>
        <v>79</v>
      </c>
      <c r="I63" s="16">
        <v>26</v>
      </c>
      <c r="J63" s="16">
        <v>44</v>
      </c>
      <c r="K63" s="33">
        <f t="shared" si="8"/>
        <v>70</v>
      </c>
      <c r="L63" s="16"/>
      <c r="M63" s="16"/>
      <c r="N63" s="33"/>
      <c r="O63" s="16">
        <v>31</v>
      </c>
      <c r="P63" s="16">
        <v>32</v>
      </c>
      <c r="Q63" s="33">
        <f t="shared" si="9"/>
        <v>63</v>
      </c>
      <c r="R63" s="16"/>
      <c r="S63" s="16"/>
      <c r="T63" s="33"/>
      <c r="U63" s="16">
        <v>43</v>
      </c>
      <c r="V63" s="16">
        <v>41</v>
      </c>
      <c r="W63" s="37">
        <f t="shared" si="10"/>
        <v>84</v>
      </c>
      <c r="X63" s="18"/>
      <c r="Y63" s="19"/>
      <c r="Z63" s="19"/>
      <c r="AA63" s="37">
        <f t="shared" si="11"/>
        <v>369</v>
      </c>
      <c r="AB63" s="16" t="s">
        <v>117</v>
      </c>
      <c r="AC63" s="19"/>
    </row>
    <row r="64" spans="1:29" ht="15.6" x14ac:dyDescent="0.3">
      <c r="A64" s="5" t="s">
        <v>114</v>
      </c>
      <c r="B64" s="5"/>
      <c r="C64" s="5"/>
      <c r="D64" s="5"/>
      <c r="E64" s="5"/>
      <c r="F64" s="5"/>
      <c r="G64" s="5" t="s">
        <v>468</v>
      </c>
      <c r="H64" s="5"/>
      <c r="I64" s="5"/>
      <c r="J64" s="5"/>
      <c r="K64" s="5"/>
      <c r="L64" s="5"/>
      <c r="M64" s="5"/>
      <c r="N64" s="5"/>
      <c r="O64" s="5" t="s">
        <v>82</v>
      </c>
      <c r="P64" s="5"/>
      <c r="Q64" s="5"/>
      <c r="R64" s="5"/>
      <c r="S64" s="5"/>
      <c r="T64" s="5"/>
      <c r="U64" s="5" t="s">
        <v>83</v>
      </c>
      <c r="V64" s="5"/>
      <c r="W64" s="5"/>
      <c r="X64" s="5"/>
      <c r="Y64" s="5"/>
      <c r="Z64" s="5"/>
      <c r="AA64" s="5"/>
      <c r="AB64" s="5" t="s">
        <v>84</v>
      </c>
      <c r="AC64" s="5"/>
    </row>
    <row r="65" spans="1:29" ht="15.6" x14ac:dyDescent="0.3">
      <c r="A65" s="5" t="s">
        <v>89</v>
      </c>
      <c r="B65" s="5"/>
      <c r="C65" s="5"/>
      <c r="D65" s="5"/>
      <c r="E65" s="5"/>
      <c r="F65" s="5" t="s">
        <v>90</v>
      </c>
      <c r="G65" s="5"/>
      <c r="H65" s="5"/>
      <c r="I65" s="5"/>
      <c r="J65" s="5"/>
      <c r="K65" s="5"/>
      <c r="L65" s="5"/>
      <c r="M65" s="5"/>
      <c r="N65" s="5" t="s">
        <v>462</v>
      </c>
      <c r="O65" s="5"/>
      <c r="P65" s="5"/>
      <c r="Q65" s="5"/>
      <c r="R65" s="5"/>
      <c r="S65" s="5"/>
      <c r="T65" s="5" t="s">
        <v>463</v>
      </c>
      <c r="U65" s="5"/>
      <c r="V65" s="5"/>
      <c r="W65" s="5"/>
      <c r="X65" s="5"/>
      <c r="Y65" s="5"/>
      <c r="Z65" s="5"/>
      <c r="AA65" s="5"/>
      <c r="AB65" s="5" t="s">
        <v>85</v>
      </c>
      <c r="AC65" s="5"/>
    </row>
    <row r="66" spans="1:29" ht="15.6" x14ac:dyDescent="0.3">
      <c r="A66" s="5" t="s">
        <v>466</v>
      </c>
      <c r="B66" s="5"/>
      <c r="C66" s="5"/>
      <c r="D66" s="5"/>
      <c r="E66" s="5"/>
      <c r="F66" s="5" t="s">
        <v>91</v>
      </c>
      <c r="G66" s="5"/>
      <c r="H66" s="5"/>
      <c r="I66" s="5"/>
      <c r="J66" s="5"/>
      <c r="K66" s="5"/>
      <c r="L66" s="5"/>
      <c r="M66" s="5"/>
      <c r="N66" s="5" t="s">
        <v>94</v>
      </c>
      <c r="O66" s="5"/>
      <c r="P66" s="5"/>
      <c r="Q66" s="5"/>
      <c r="R66" s="5"/>
      <c r="S66" s="5"/>
      <c r="T66" s="5" t="s">
        <v>97</v>
      </c>
      <c r="U66" s="5"/>
      <c r="V66" s="5"/>
      <c r="W66" s="5"/>
      <c r="X66" s="5"/>
      <c r="Y66" s="5"/>
      <c r="Z66" s="5"/>
      <c r="AA66" s="5"/>
      <c r="AB66" s="5" t="s">
        <v>99</v>
      </c>
      <c r="AC66" s="5"/>
    </row>
    <row r="67" spans="1:29" ht="15.6" x14ac:dyDescent="0.3">
      <c r="A67" s="5" t="s">
        <v>89</v>
      </c>
      <c r="B67" s="5"/>
      <c r="C67" s="5"/>
      <c r="D67" s="5"/>
      <c r="E67" s="5"/>
      <c r="F67" s="5" t="s">
        <v>92</v>
      </c>
      <c r="G67" s="5"/>
      <c r="H67" s="5"/>
      <c r="I67" s="5"/>
      <c r="J67" s="5"/>
      <c r="K67" s="5"/>
      <c r="L67" s="5"/>
      <c r="M67" s="5"/>
      <c r="N67" s="5" t="s">
        <v>95</v>
      </c>
      <c r="O67" s="5"/>
      <c r="P67" s="5"/>
      <c r="Q67" s="5"/>
      <c r="R67" s="5"/>
      <c r="S67" s="5"/>
      <c r="T67" s="5" t="s">
        <v>98</v>
      </c>
      <c r="U67" s="5"/>
      <c r="V67" s="5"/>
      <c r="W67" s="5"/>
      <c r="X67" s="5"/>
      <c r="Y67" s="5"/>
      <c r="Z67" s="5"/>
      <c r="AA67" s="5"/>
      <c r="AB67" s="5"/>
      <c r="AC67" s="5"/>
    </row>
    <row r="70" spans="1:29" ht="15.6" x14ac:dyDescent="0.3">
      <c r="B70" s="15" t="s">
        <v>494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 t="s">
        <v>467</v>
      </c>
      <c r="N70" s="6"/>
      <c r="O70" s="6"/>
      <c r="P70" s="6"/>
      <c r="Q70" s="6"/>
      <c r="R70" s="6"/>
      <c r="S70" s="6"/>
      <c r="T70" s="6"/>
      <c r="U70" s="6"/>
      <c r="V70" s="6"/>
      <c r="W70" s="5" t="s">
        <v>456</v>
      </c>
      <c r="X70" s="6"/>
      <c r="Y70" s="6"/>
      <c r="Z70" s="6"/>
      <c r="AA70" s="5"/>
      <c r="AB70" s="3"/>
      <c r="AC70" s="1"/>
    </row>
    <row r="71" spans="1:29" ht="15.6" x14ac:dyDescent="0.3">
      <c r="B71" s="15" t="s">
        <v>81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5" t="s">
        <v>100</v>
      </c>
      <c r="X71" s="5"/>
      <c r="Y71" s="6"/>
      <c r="Z71" s="6"/>
      <c r="AA71" s="5"/>
      <c r="AB71" s="3"/>
      <c r="AC71" s="3"/>
    </row>
    <row r="72" spans="1:29" ht="15.6" x14ac:dyDescent="0.3">
      <c r="B72" s="15" t="s">
        <v>459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5" t="s">
        <v>88</v>
      </c>
      <c r="X72" s="5"/>
      <c r="Y72" s="6"/>
      <c r="Z72" s="6"/>
      <c r="AA72" s="5"/>
      <c r="AB72" s="3"/>
      <c r="AC72" s="3"/>
    </row>
    <row r="73" spans="1:29" ht="15.6" x14ac:dyDescent="0.3">
      <c r="B73" s="15" t="s">
        <v>460</v>
      </c>
      <c r="C73" s="6"/>
      <c r="D73" s="6"/>
      <c r="E73" s="6"/>
      <c r="F73" s="6"/>
      <c r="G73" s="6"/>
      <c r="H73" s="6"/>
      <c r="I73" s="6"/>
      <c r="J73" s="6"/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5" t="s">
        <v>87</v>
      </c>
      <c r="X73" s="5"/>
      <c r="Y73" s="5" t="s">
        <v>118</v>
      </c>
      <c r="Z73" s="5"/>
      <c r="AA73" s="5"/>
      <c r="AB73" s="3"/>
      <c r="AC73" s="3"/>
    </row>
    <row r="74" spans="1:29" ht="15.6" x14ac:dyDescent="0.3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5" t="s">
        <v>86</v>
      </c>
      <c r="X74" s="5"/>
      <c r="Y74" s="5"/>
      <c r="Z74" s="5">
        <v>3</v>
      </c>
      <c r="AA74" s="5"/>
      <c r="AB74" s="3"/>
      <c r="AC74" s="3"/>
    </row>
    <row r="75" spans="1:29" ht="15.6" x14ac:dyDescent="0.3">
      <c r="B75" s="6"/>
      <c r="C75" s="5" t="s">
        <v>482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5"/>
      <c r="X75" s="5"/>
      <c r="Y75" s="6"/>
      <c r="Z75" s="6"/>
      <c r="AA75" s="5"/>
      <c r="AB75" s="5"/>
      <c r="AC75" s="5"/>
    </row>
    <row r="76" spans="1:29" ht="15.6" x14ac:dyDescent="0.3">
      <c r="A76" s="57" t="s">
        <v>0</v>
      </c>
      <c r="B76" s="38" t="s">
        <v>469</v>
      </c>
      <c r="C76" s="60" t="s">
        <v>457</v>
      </c>
      <c r="D76" s="61"/>
      <c r="E76" s="62"/>
      <c r="F76" s="60" t="s">
        <v>1</v>
      </c>
      <c r="G76" s="61"/>
      <c r="H76" s="62"/>
      <c r="I76" s="60" t="s">
        <v>2</v>
      </c>
      <c r="J76" s="61"/>
      <c r="K76" s="62"/>
      <c r="L76" s="60" t="s">
        <v>8</v>
      </c>
      <c r="M76" s="61"/>
      <c r="N76" s="62"/>
      <c r="O76" s="60" t="s">
        <v>3</v>
      </c>
      <c r="P76" s="61"/>
      <c r="Q76" s="62"/>
      <c r="R76" s="31"/>
      <c r="S76" s="31" t="s">
        <v>4</v>
      </c>
      <c r="T76" s="31"/>
      <c r="U76" s="60" t="s">
        <v>5</v>
      </c>
      <c r="V76" s="61"/>
      <c r="W76" s="62"/>
      <c r="X76" s="57" t="s">
        <v>16</v>
      </c>
      <c r="Y76" s="57" t="s">
        <v>17</v>
      </c>
      <c r="Z76" s="57" t="s">
        <v>18</v>
      </c>
      <c r="AA76" s="57" t="s">
        <v>19</v>
      </c>
      <c r="AB76" s="57" t="s">
        <v>20</v>
      </c>
      <c r="AC76" s="57" t="s">
        <v>21</v>
      </c>
    </row>
    <row r="77" spans="1:29" ht="55.2" x14ac:dyDescent="0.25">
      <c r="A77" s="58"/>
      <c r="B77" s="35" t="s">
        <v>470</v>
      </c>
      <c r="C77" s="32" t="s">
        <v>6</v>
      </c>
      <c r="D77" s="32" t="s">
        <v>461</v>
      </c>
      <c r="E77" s="32" t="s">
        <v>7</v>
      </c>
      <c r="F77" s="32" t="s">
        <v>6</v>
      </c>
      <c r="G77" s="32" t="s">
        <v>461</v>
      </c>
      <c r="H77" s="32" t="s">
        <v>7</v>
      </c>
      <c r="I77" s="32" t="s">
        <v>6</v>
      </c>
      <c r="J77" s="32" t="s">
        <v>461</v>
      </c>
      <c r="K77" s="32" t="s">
        <v>7</v>
      </c>
      <c r="L77" s="32" t="s">
        <v>6</v>
      </c>
      <c r="M77" s="32" t="s">
        <v>461</v>
      </c>
      <c r="N77" s="32" t="s">
        <v>7</v>
      </c>
      <c r="O77" s="32" t="s">
        <v>6</v>
      </c>
      <c r="P77" s="32" t="s">
        <v>461</v>
      </c>
      <c r="Q77" s="32" t="s">
        <v>7</v>
      </c>
      <c r="R77" s="32" t="s">
        <v>6</v>
      </c>
      <c r="S77" s="32" t="s">
        <v>461</v>
      </c>
      <c r="T77" s="32" t="s">
        <v>7</v>
      </c>
      <c r="U77" s="32" t="s">
        <v>6</v>
      </c>
      <c r="V77" s="32" t="s">
        <v>461</v>
      </c>
      <c r="W77" s="32" t="s">
        <v>7</v>
      </c>
      <c r="X77" s="58"/>
      <c r="Y77" s="58"/>
      <c r="Z77" s="58"/>
      <c r="AA77" s="58"/>
      <c r="AB77" s="58"/>
      <c r="AC77" s="58"/>
    </row>
    <row r="78" spans="1:29" ht="15.6" x14ac:dyDescent="0.3">
      <c r="A78" s="59"/>
      <c r="B78" s="36"/>
      <c r="C78" s="33">
        <v>50</v>
      </c>
      <c r="D78" s="33">
        <v>50</v>
      </c>
      <c r="E78" s="33">
        <v>100</v>
      </c>
      <c r="F78" s="33">
        <v>50</v>
      </c>
      <c r="G78" s="33">
        <v>50</v>
      </c>
      <c r="H78" s="33">
        <v>100</v>
      </c>
      <c r="I78" s="33">
        <v>50</v>
      </c>
      <c r="J78" s="33">
        <v>50</v>
      </c>
      <c r="K78" s="33">
        <v>100</v>
      </c>
      <c r="L78" s="33">
        <v>50</v>
      </c>
      <c r="M78" s="33">
        <v>50</v>
      </c>
      <c r="N78" s="33">
        <v>100</v>
      </c>
      <c r="O78" s="33">
        <v>50</v>
      </c>
      <c r="P78" s="33">
        <v>50</v>
      </c>
      <c r="Q78" s="33">
        <v>100</v>
      </c>
      <c r="R78" s="33">
        <v>50</v>
      </c>
      <c r="S78" s="33">
        <v>50</v>
      </c>
      <c r="T78" s="33">
        <v>100</v>
      </c>
      <c r="U78" s="33">
        <v>50</v>
      </c>
      <c r="V78" s="33">
        <v>50</v>
      </c>
      <c r="W78" s="33">
        <v>100</v>
      </c>
      <c r="X78" s="59"/>
      <c r="Y78" s="59"/>
      <c r="Z78" s="59"/>
      <c r="AA78" s="59"/>
      <c r="AB78" s="59"/>
      <c r="AC78" s="59"/>
    </row>
    <row r="79" spans="1:29" ht="15.6" x14ac:dyDescent="0.3">
      <c r="A79" s="16">
        <v>41</v>
      </c>
      <c r="B79" s="17" t="s">
        <v>475</v>
      </c>
      <c r="C79" s="16">
        <v>48</v>
      </c>
      <c r="D79" s="16">
        <v>50</v>
      </c>
      <c r="E79" s="33">
        <f t="shared" ref="E79:E85" si="12">SUM(C79:D79)</f>
        <v>98</v>
      </c>
      <c r="F79" s="16">
        <v>50</v>
      </c>
      <c r="G79" s="16">
        <v>50</v>
      </c>
      <c r="H79" s="33">
        <f t="shared" ref="H79:H85" si="13">SUM(F79:G79)</f>
        <v>100</v>
      </c>
      <c r="I79" s="16">
        <v>50</v>
      </c>
      <c r="J79" s="16">
        <v>48</v>
      </c>
      <c r="K79" s="33">
        <f t="shared" ref="K79:K85" si="14">SUM(I79:J79)</f>
        <v>98</v>
      </c>
      <c r="L79" s="16"/>
      <c r="M79" s="16"/>
      <c r="N79" s="33"/>
      <c r="O79" s="16">
        <v>50</v>
      </c>
      <c r="P79" s="16">
        <v>45</v>
      </c>
      <c r="Q79" s="33">
        <f t="shared" ref="Q79:Q85" si="15">SUM(O79:P79)</f>
        <v>95</v>
      </c>
      <c r="R79" s="16"/>
      <c r="S79" s="16"/>
      <c r="T79" s="33"/>
      <c r="U79" s="16">
        <v>50</v>
      </c>
      <c r="V79" s="16">
        <v>50</v>
      </c>
      <c r="W79" s="37">
        <f t="shared" ref="W79:W85" si="16">SUM(U79:V79)</f>
        <v>100</v>
      </c>
      <c r="X79" s="19"/>
      <c r="Y79" s="19"/>
      <c r="Z79" s="19"/>
      <c r="AA79" s="33">
        <f t="shared" ref="AA79:AA85" si="17">SUM(W79,Q79,K79,H79,E79)</f>
        <v>491</v>
      </c>
      <c r="AB79" s="16" t="s">
        <v>117</v>
      </c>
      <c r="AC79" s="19"/>
    </row>
    <row r="80" spans="1:29" ht="15.6" x14ac:dyDescent="0.3">
      <c r="A80" s="16">
        <v>42</v>
      </c>
      <c r="B80" s="17" t="s">
        <v>443</v>
      </c>
      <c r="C80" s="16">
        <v>49</v>
      </c>
      <c r="D80" s="16">
        <v>30</v>
      </c>
      <c r="E80" s="33">
        <f t="shared" si="12"/>
        <v>79</v>
      </c>
      <c r="F80" s="16">
        <v>47</v>
      </c>
      <c r="G80" s="16">
        <v>33</v>
      </c>
      <c r="H80" s="33">
        <f t="shared" si="13"/>
        <v>80</v>
      </c>
      <c r="I80" s="16">
        <v>26</v>
      </c>
      <c r="J80" s="16">
        <v>43</v>
      </c>
      <c r="K80" s="33">
        <f t="shared" si="14"/>
        <v>69</v>
      </c>
      <c r="L80" s="16"/>
      <c r="M80" s="16"/>
      <c r="N80" s="33"/>
      <c r="O80" s="16">
        <v>26</v>
      </c>
      <c r="P80" s="16">
        <v>27</v>
      </c>
      <c r="Q80" s="33">
        <f t="shared" si="15"/>
        <v>53</v>
      </c>
      <c r="R80" s="16"/>
      <c r="S80" s="16"/>
      <c r="T80" s="33"/>
      <c r="U80" s="16">
        <v>38</v>
      </c>
      <c r="V80" s="16">
        <v>34</v>
      </c>
      <c r="W80" s="37">
        <f t="shared" si="16"/>
        <v>72</v>
      </c>
      <c r="X80" s="19"/>
      <c r="Y80" s="19"/>
      <c r="Z80" s="19"/>
      <c r="AA80" s="33">
        <f t="shared" si="17"/>
        <v>353</v>
      </c>
      <c r="AB80" s="16" t="s">
        <v>117</v>
      </c>
      <c r="AC80" s="19"/>
    </row>
    <row r="81" spans="1:29" ht="15.6" x14ac:dyDescent="0.3">
      <c r="A81" s="16">
        <v>43</v>
      </c>
      <c r="B81" s="17" t="s">
        <v>76</v>
      </c>
      <c r="C81" s="16">
        <v>50</v>
      </c>
      <c r="D81" s="16">
        <v>43</v>
      </c>
      <c r="E81" s="33">
        <f t="shared" si="12"/>
        <v>93</v>
      </c>
      <c r="F81" s="16">
        <v>50</v>
      </c>
      <c r="G81" s="16">
        <v>28</v>
      </c>
      <c r="H81" s="33">
        <f t="shared" si="13"/>
        <v>78</v>
      </c>
      <c r="I81" s="16">
        <v>36</v>
      </c>
      <c r="J81" s="16">
        <v>28</v>
      </c>
      <c r="K81" s="33">
        <f t="shared" si="14"/>
        <v>64</v>
      </c>
      <c r="L81" s="16"/>
      <c r="M81" s="16"/>
      <c r="N81" s="33"/>
      <c r="O81" s="16">
        <v>50</v>
      </c>
      <c r="P81" s="16">
        <v>29</v>
      </c>
      <c r="Q81" s="33">
        <f t="shared" si="15"/>
        <v>79</v>
      </c>
      <c r="R81" s="16"/>
      <c r="S81" s="16"/>
      <c r="T81" s="33"/>
      <c r="U81" s="16">
        <v>50</v>
      </c>
      <c r="V81" s="16">
        <v>42</v>
      </c>
      <c r="W81" s="37">
        <f t="shared" si="16"/>
        <v>92</v>
      </c>
      <c r="X81" s="19"/>
      <c r="Y81" s="19"/>
      <c r="Z81" s="19"/>
      <c r="AA81" s="33">
        <f t="shared" si="17"/>
        <v>406</v>
      </c>
      <c r="AB81" s="16" t="s">
        <v>117</v>
      </c>
      <c r="AC81" s="19"/>
    </row>
    <row r="82" spans="1:29" ht="15.6" x14ac:dyDescent="0.3">
      <c r="A82" s="16">
        <v>44</v>
      </c>
      <c r="B82" s="17" t="s">
        <v>77</v>
      </c>
      <c r="C82" s="16">
        <v>32</v>
      </c>
      <c r="D82" s="16">
        <v>27</v>
      </c>
      <c r="E82" s="33">
        <f t="shared" si="12"/>
        <v>59</v>
      </c>
      <c r="F82" s="16">
        <v>39</v>
      </c>
      <c r="G82" s="16">
        <v>26</v>
      </c>
      <c r="H82" s="33">
        <f t="shared" si="13"/>
        <v>65</v>
      </c>
      <c r="I82" s="16">
        <v>25</v>
      </c>
      <c r="J82" s="16">
        <v>39</v>
      </c>
      <c r="K82" s="33">
        <f t="shared" si="14"/>
        <v>64</v>
      </c>
      <c r="L82" s="16"/>
      <c r="M82" s="16"/>
      <c r="N82" s="33"/>
      <c r="O82" s="16">
        <v>25</v>
      </c>
      <c r="P82" s="16">
        <v>26</v>
      </c>
      <c r="Q82" s="33">
        <f t="shared" si="15"/>
        <v>51</v>
      </c>
      <c r="R82" s="16"/>
      <c r="S82" s="16"/>
      <c r="T82" s="33"/>
      <c r="U82" s="16">
        <v>44</v>
      </c>
      <c r="V82" s="16">
        <v>34</v>
      </c>
      <c r="W82" s="37">
        <f t="shared" si="16"/>
        <v>78</v>
      </c>
      <c r="X82" s="19"/>
      <c r="Y82" s="19"/>
      <c r="Z82" s="19"/>
      <c r="AA82" s="33">
        <f t="shared" si="17"/>
        <v>317</v>
      </c>
      <c r="AB82" s="16" t="s">
        <v>117</v>
      </c>
      <c r="AC82" s="19"/>
    </row>
    <row r="83" spans="1:29" ht="15.6" x14ac:dyDescent="0.3">
      <c r="A83" s="16">
        <v>45</v>
      </c>
      <c r="B83" s="17" t="s">
        <v>79</v>
      </c>
      <c r="C83" s="16">
        <v>49</v>
      </c>
      <c r="D83" s="16">
        <v>48</v>
      </c>
      <c r="E83" s="33">
        <f t="shared" si="12"/>
        <v>97</v>
      </c>
      <c r="F83" s="16">
        <v>48</v>
      </c>
      <c r="G83" s="16">
        <v>46</v>
      </c>
      <c r="H83" s="33">
        <f t="shared" si="13"/>
        <v>94</v>
      </c>
      <c r="I83" s="16">
        <v>37</v>
      </c>
      <c r="J83" s="16">
        <v>35</v>
      </c>
      <c r="K83" s="33">
        <f t="shared" si="14"/>
        <v>72</v>
      </c>
      <c r="L83" s="16"/>
      <c r="M83" s="16"/>
      <c r="N83" s="33"/>
      <c r="O83" s="16">
        <v>26</v>
      </c>
      <c r="P83" s="16">
        <v>34</v>
      </c>
      <c r="Q83" s="33">
        <f t="shared" si="15"/>
        <v>60</v>
      </c>
      <c r="R83" s="16"/>
      <c r="S83" s="16"/>
      <c r="T83" s="33"/>
      <c r="U83" s="16">
        <v>49</v>
      </c>
      <c r="V83" s="16">
        <v>39</v>
      </c>
      <c r="W83" s="37">
        <f t="shared" si="16"/>
        <v>88</v>
      </c>
      <c r="X83" s="19"/>
      <c r="Y83" s="19"/>
      <c r="Z83" s="19"/>
      <c r="AA83" s="33">
        <f t="shared" si="17"/>
        <v>411</v>
      </c>
      <c r="AB83" s="16" t="s">
        <v>117</v>
      </c>
      <c r="AC83" s="19"/>
    </row>
    <row r="84" spans="1:29" ht="15.6" x14ac:dyDescent="0.3">
      <c r="A84" s="16">
        <v>46</v>
      </c>
      <c r="B84" s="17" t="s">
        <v>78</v>
      </c>
      <c r="C84" s="16">
        <v>45</v>
      </c>
      <c r="D84" s="16">
        <v>28</v>
      </c>
      <c r="E84" s="33">
        <f t="shared" si="12"/>
        <v>73</v>
      </c>
      <c r="F84" s="16">
        <v>48</v>
      </c>
      <c r="G84" s="16">
        <v>48</v>
      </c>
      <c r="H84" s="33">
        <f t="shared" si="13"/>
        <v>96</v>
      </c>
      <c r="I84" s="16">
        <v>31</v>
      </c>
      <c r="J84" s="16">
        <v>45</v>
      </c>
      <c r="K84" s="33">
        <f t="shared" si="14"/>
        <v>76</v>
      </c>
      <c r="L84" s="16"/>
      <c r="M84" s="16"/>
      <c r="N84" s="33"/>
      <c r="O84" s="16">
        <v>43</v>
      </c>
      <c r="P84" s="16">
        <v>34</v>
      </c>
      <c r="Q84" s="33">
        <f t="shared" si="15"/>
        <v>77</v>
      </c>
      <c r="R84" s="16"/>
      <c r="S84" s="16"/>
      <c r="T84" s="33"/>
      <c r="U84" s="16">
        <v>49</v>
      </c>
      <c r="V84" s="16">
        <v>33</v>
      </c>
      <c r="W84" s="37">
        <f t="shared" si="16"/>
        <v>82</v>
      </c>
      <c r="X84" s="19"/>
      <c r="Y84" s="19"/>
      <c r="Z84" s="19"/>
      <c r="AA84" s="33">
        <f t="shared" si="17"/>
        <v>404</v>
      </c>
      <c r="AB84" s="16" t="s">
        <v>117</v>
      </c>
      <c r="AC84" s="19"/>
    </row>
    <row r="85" spans="1:29" ht="15.6" x14ac:dyDescent="0.3">
      <c r="A85" s="16">
        <v>47</v>
      </c>
      <c r="B85" s="17" t="s">
        <v>80</v>
      </c>
      <c r="C85" s="16">
        <v>39</v>
      </c>
      <c r="D85" s="16">
        <v>49</v>
      </c>
      <c r="E85" s="33">
        <f t="shared" si="12"/>
        <v>88</v>
      </c>
      <c r="F85" s="16">
        <v>50</v>
      </c>
      <c r="G85" s="16">
        <v>48</v>
      </c>
      <c r="H85" s="33">
        <f t="shared" si="13"/>
        <v>98</v>
      </c>
      <c r="I85" s="16">
        <v>35</v>
      </c>
      <c r="J85" s="16">
        <v>42</v>
      </c>
      <c r="K85" s="33">
        <f t="shared" si="14"/>
        <v>77</v>
      </c>
      <c r="L85" s="16"/>
      <c r="M85" s="16"/>
      <c r="N85" s="33"/>
      <c r="O85" s="16">
        <v>43</v>
      </c>
      <c r="P85" s="16">
        <v>49</v>
      </c>
      <c r="Q85" s="33">
        <f t="shared" si="15"/>
        <v>92</v>
      </c>
      <c r="R85" s="16"/>
      <c r="S85" s="16"/>
      <c r="T85" s="33"/>
      <c r="U85" s="16">
        <v>50</v>
      </c>
      <c r="V85" s="16">
        <v>39</v>
      </c>
      <c r="W85" s="37">
        <f t="shared" si="16"/>
        <v>89</v>
      </c>
      <c r="X85" s="19"/>
      <c r="Y85" s="19"/>
      <c r="Z85" s="19"/>
      <c r="AA85" s="33">
        <f t="shared" si="17"/>
        <v>444</v>
      </c>
      <c r="AB85" s="16" t="s">
        <v>117</v>
      </c>
      <c r="AC85" s="19"/>
    </row>
    <row r="86" spans="1:29" ht="15.6" x14ac:dyDescent="0.3">
      <c r="A86" s="16"/>
      <c r="B86" s="17"/>
      <c r="C86" s="16"/>
      <c r="D86" s="16"/>
      <c r="E86" s="33"/>
      <c r="F86" s="16"/>
      <c r="G86" s="16"/>
      <c r="H86" s="33"/>
      <c r="I86" s="16"/>
      <c r="J86" s="16"/>
      <c r="K86" s="33"/>
      <c r="L86" s="16"/>
      <c r="M86" s="16"/>
      <c r="N86" s="33"/>
      <c r="O86" s="16"/>
      <c r="P86" s="16"/>
      <c r="Q86" s="33"/>
      <c r="R86" s="16"/>
      <c r="S86" s="16"/>
      <c r="T86" s="33"/>
      <c r="U86" s="16"/>
      <c r="V86" s="16"/>
      <c r="W86" s="37"/>
      <c r="X86" s="19"/>
      <c r="Y86" s="19"/>
      <c r="Z86" s="19"/>
      <c r="AA86" s="33"/>
      <c r="AB86" s="19"/>
      <c r="AC86" s="19"/>
    </row>
    <row r="87" spans="1:29" ht="15.6" x14ac:dyDescent="0.3">
      <c r="A87" s="16"/>
      <c r="B87" s="16"/>
      <c r="C87" s="16"/>
      <c r="D87" s="16"/>
      <c r="E87" s="33"/>
      <c r="F87" s="16"/>
      <c r="G87" s="16"/>
      <c r="H87" s="33"/>
      <c r="I87" s="16"/>
      <c r="J87" s="16"/>
      <c r="K87" s="33"/>
      <c r="L87" s="16"/>
      <c r="M87" s="16"/>
      <c r="N87" s="33"/>
      <c r="O87" s="16"/>
      <c r="P87" s="16"/>
      <c r="Q87" s="33"/>
      <c r="R87" s="16"/>
      <c r="S87" s="16"/>
      <c r="T87" s="33"/>
      <c r="U87" s="16"/>
      <c r="V87" s="16"/>
      <c r="W87" s="37"/>
      <c r="X87" s="19"/>
      <c r="Y87" s="19"/>
      <c r="Z87" s="19"/>
      <c r="AA87" s="37"/>
      <c r="AB87" s="19"/>
      <c r="AC87" s="19"/>
    </row>
    <row r="88" spans="1:29" ht="15.6" x14ac:dyDescent="0.3">
      <c r="A88" s="16"/>
      <c r="B88" s="16"/>
      <c r="C88" s="16"/>
      <c r="D88" s="16"/>
      <c r="E88" s="33"/>
      <c r="F88" s="16"/>
      <c r="G88" s="16"/>
      <c r="H88" s="33"/>
      <c r="I88" s="16"/>
      <c r="J88" s="16"/>
      <c r="K88" s="33"/>
      <c r="L88" s="16"/>
      <c r="M88" s="16"/>
      <c r="N88" s="33"/>
      <c r="O88" s="16"/>
      <c r="P88" s="16"/>
      <c r="Q88" s="33"/>
      <c r="R88" s="16"/>
      <c r="S88" s="16"/>
      <c r="T88" s="33"/>
      <c r="U88" s="16"/>
      <c r="V88" s="16"/>
      <c r="W88" s="37"/>
      <c r="X88" s="19"/>
      <c r="Y88" s="19"/>
      <c r="Z88" s="19"/>
      <c r="AA88" s="37"/>
      <c r="AB88" s="19"/>
      <c r="AC88" s="19"/>
    </row>
    <row r="89" spans="1:29" ht="15.6" x14ac:dyDescent="0.3">
      <c r="A89" s="16"/>
      <c r="B89" s="16"/>
      <c r="C89" s="16"/>
      <c r="D89" s="16"/>
      <c r="E89" s="33"/>
      <c r="F89" s="16"/>
      <c r="G89" s="16"/>
      <c r="H89" s="33"/>
      <c r="I89" s="16"/>
      <c r="J89" s="16"/>
      <c r="K89" s="33"/>
      <c r="L89" s="16"/>
      <c r="M89" s="16"/>
      <c r="N89" s="33"/>
      <c r="O89" s="16"/>
      <c r="P89" s="16"/>
      <c r="Q89" s="33"/>
      <c r="R89" s="16"/>
      <c r="S89" s="16"/>
      <c r="T89" s="33"/>
      <c r="U89" s="16"/>
      <c r="V89" s="16"/>
      <c r="W89" s="37"/>
      <c r="X89" s="19"/>
      <c r="Y89" s="19"/>
      <c r="Z89" s="19"/>
      <c r="AA89" s="37"/>
      <c r="AB89" s="19"/>
      <c r="AC89" s="19"/>
    </row>
    <row r="90" spans="1:29" ht="15.6" x14ac:dyDescent="0.3">
      <c r="A90" s="16"/>
      <c r="B90" s="16"/>
      <c r="C90" s="16"/>
      <c r="D90" s="16"/>
      <c r="E90" s="33"/>
      <c r="F90" s="16"/>
      <c r="G90" s="16"/>
      <c r="H90" s="33"/>
      <c r="I90" s="16"/>
      <c r="J90" s="16"/>
      <c r="K90" s="33"/>
      <c r="L90" s="16"/>
      <c r="M90" s="16"/>
      <c r="N90" s="33"/>
      <c r="O90" s="16"/>
      <c r="P90" s="16"/>
      <c r="Q90" s="33"/>
      <c r="R90" s="16"/>
      <c r="S90" s="16"/>
      <c r="T90" s="33"/>
      <c r="U90" s="16"/>
      <c r="V90" s="16"/>
      <c r="W90" s="37"/>
      <c r="X90" s="19"/>
      <c r="Y90" s="19"/>
      <c r="Z90" s="19"/>
      <c r="AA90" s="37"/>
      <c r="AB90" s="19"/>
      <c r="AC90" s="19"/>
    </row>
    <row r="91" spans="1:29" ht="15.6" x14ac:dyDescent="0.3">
      <c r="A91" s="16"/>
      <c r="B91" s="16"/>
      <c r="C91" s="16"/>
      <c r="D91" s="16"/>
      <c r="E91" s="33"/>
      <c r="F91" s="16"/>
      <c r="G91" s="16"/>
      <c r="H91" s="33"/>
      <c r="I91" s="16"/>
      <c r="J91" s="16"/>
      <c r="K91" s="33"/>
      <c r="L91" s="16"/>
      <c r="M91" s="16"/>
      <c r="N91" s="33"/>
      <c r="O91" s="16"/>
      <c r="P91" s="16"/>
      <c r="Q91" s="33"/>
      <c r="R91" s="16"/>
      <c r="S91" s="16"/>
      <c r="T91" s="33"/>
      <c r="U91" s="16"/>
      <c r="V91" s="16"/>
      <c r="W91" s="37"/>
      <c r="X91" s="19"/>
      <c r="Y91" s="19"/>
      <c r="Z91" s="19"/>
      <c r="AA91" s="37"/>
      <c r="AB91" s="19"/>
      <c r="AC91" s="19"/>
    </row>
    <row r="92" spans="1:29" ht="15.6" x14ac:dyDescent="0.3">
      <c r="A92" s="16"/>
      <c r="B92" s="16"/>
      <c r="C92" s="16"/>
      <c r="D92" s="16"/>
      <c r="E92" s="33"/>
      <c r="F92" s="16"/>
      <c r="G92" s="16"/>
      <c r="H92" s="33"/>
      <c r="I92" s="16"/>
      <c r="J92" s="16"/>
      <c r="K92" s="33"/>
      <c r="L92" s="16"/>
      <c r="M92" s="16"/>
      <c r="N92" s="33"/>
      <c r="O92" s="16"/>
      <c r="P92" s="16"/>
      <c r="Q92" s="33"/>
      <c r="R92" s="16"/>
      <c r="S92" s="16"/>
      <c r="T92" s="33"/>
      <c r="U92" s="16"/>
      <c r="V92" s="16"/>
      <c r="W92" s="37"/>
      <c r="X92" s="19"/>
      <c r="Y92" s="19"/>
      <c r="Z92" s="19"/>
      <c r="AA92" s="37"/>
      <c r="AB92" s="19"/>
      <c r="AC92" s="19"/>
    </row>
    <row r="93" spans="1:29" ht="15.6" x14ac:dyDescent="0.3">
      <c r="A93" s="16"/>
      <c r="B93" s="16"/>
      <c r="C93" s="16"/>
      <c r="D93" s="16"/>
      <c r="E93" s="33"/>
      <c r="F93" s="16"/>
      <c r="G93" s="16"/>
      <c r="H93" s="33"/>
      <c r="I93" s="16"/>
      <c r="J93" s="16"/>
      <c r="K93" s="33"/>
      <c r="L93" s="16"/>
      <c r="M93" s="16"/>
      <c r="N93" s="33"/>
      <c r="O93" s="16"/>
      <c r="P93" s="16"/>
      <c r="Q93" s="33"/>
      <c r="R93" s="16"/>
      <c r="S93" s="16"/>
      <c r="T93" s="33"/>
      <c r="U93" s="16"/>
      <c r="V93" s="16"/>
      <c r="W93" s="37"/>
      <c r="X93" s="19"/>
      <c r="Y93" s="19"/>
      <c r="Z93" s="19"/>
      <c r="AA93" s="37"/>
      <c r="AB93" s="19"/>
      <c r="AC93" s="19"/>
    </row>
    <row r="94" spans="1:29" ht="15.6" x14ac:dyDescent="0.3">
      <c r="A94" s="16"/>
      <c r="B94" s="16"/>
      <c r="C94" s="16"/>
      <c r="D94" s="16"/>
      <c r="E94" s="33"/>
      <c r="F94" s="16"/>
      <c r="G94" s="16"/>
      <c r="H94" s="33"/>
      <c r="I94" s="16"/>
      <c r="J94" s="16"/>
      <c r="K94" s="33"/>
      <c r="L94" s="16"/>
      <c r="M94" s="16"/>
      <c r="N94" s="33"/>
      <c r="O94" s="16"/>
      <c r="P94" s="16"/>
      <c r="Q94" s="33"/>
      <c r="R94" s="16"/>
      <c r="S94" s="16"/>
      <c r="T94" s="33"/>
      <c r="U94" s="16"/>
      <c r="V94" s="16"/>
      <c r="W94" s="37"/>
      <c r="X94" s="19"/>
      <c r="Y94" s="19"/>
      <c r="Z94" s="19"/>
      <c r="AA94" s="37"/>
      <c r="AB94" s="19"/>
      <c r="AC94" s="19"/>
    </row>
    <row r="95" spans="1:29" ht="15.6" x14ac:dyDescent="0.3">
      <c r="A95" s="16"/>
      <c r="B95" s="16"/>
      <c r="C95" s="16"/>
      <c r="D95" s="16"/>
      <c r="E95" s="33"/>
      <c r="F95" s="16"/>
      <c r="G95" s="16"/>
      <c r="H95" s="33"/>
      <c r="I95" s="16"/>
      <c r="J95" s="16"/>
      <c r="K95" s="33"/>
      <c r="L95" s="16"/>
      <c r="M95" s="16"/>
      <c r="N95" s="33"/>
      <c r="O95" s="16"/>
      <c r="P95" s="16"/>
      <c r="Q95" s="33"/>
      <c r="R95" s="16"/>
      <c r="S95" s="16"/>
      <c r="T95" s="33"/>
      <c r="U95" s="16"/>
      <c r="V95" s="16"/>
      <c r="W95" s="37"/>
      <c r="X95" s="19"/>
      <c r="Y95" s="19"/>
      <c r="Z95" s="19"/>
      <c r="AA95" s="37"/>
      <c r="AB95" s="19"/>
      <c r="AC95" s="19"/>
    </row>
    <row r="96" spans="1:29" ht="15.6" x14ac:dyDescent="0.3">
      <c r="A96" s="16"/>
      <c r="B96" s="16"/>
      <c r="C96" s="16"/>
      <c r="D96" s="16"/>
      <c r="E96" s="33"/>
      <c r="F96" s="16"/>
      <c r="G96" s="16"/>
      <c r="H96" s="33"/>
      <c r="I96" s="16"/>
      <c r="J96" s="16"/>
      <c r="K96" s="33"/>
      <c r="L96" s="16"/>
      <c r="M96" s="16"/>
      <c r="N96" s="33"/>
      <c r="O96" s="16"/>
      <c r="P96" s="16"/>
      <c r="Q96" s="33"/>
      <c r="R96" s="16"/>
      <c r="S96" s="16"/>
      <c r="T96" s="33"/>
      <c r="U96" s="16"/>
      <c r="V96" s="16"/>
      <c r="W96" s="37"/>
      <c r="X96" s="19"/>
      <c r="Y96" s="19"/>
      <c r="Z96" s="19"/>
      <c r="AA96" s="37"/>
      <c r="AB96" s="19"/>
      <c r="AC96" s="19"/>
    </row>
    <row r="97" spans="1:29" ht="15.6" x14ac:dyDescent="0.3">
      <c r="A97" s="16"/>
      <c r="B97" s="16"/>
      <c r="C97" s="16"/>
      <c r="D97" s="16"/>
      <c r="E97" s="33"/>
      <c r="F97" s="16"/>
      <c r="G97" s="16"/>
      <c r="H97" s="33"/>
      <c r="I97" s="16"/>
      <c r="J97" s="16"/>
      <c r="K97" s="33"/>
      <c r="L97" s="16"/>
      <c r="M97" s="16"/>
      <c r="N97" s="33"/>
      <c r="O97" s="16"/>
      <c r="P97" s="16"/>
      <c r="Q97" s="33"/>
      <c r="R97" s="16"/>
      <c r="S97" s="16"/>
      <c r="T97" s="33"/>
      <c r="U97" s="16"/>
      <c r="V97" s="16"/>
      <c r="W97" s="37"/>
      <c r="X97" s="19"/>
      <c r="Y97" s="19"/>
      <c r="Z97" s="19"/>
      <c r="AA97" s="37"/>
      <c r="AB97" s="19"/>
      <c r="AC97" s="19"/>
    </row>
    <row r="98" spans="1:29" x14ac:dyDescent="0.25">
      <c r="A98" s="3" t="s">
        <v>114</v>
      </c>
      <c r="B98" s="3"/>
      <c r="C98" s="3"/>
      <c r="D98" s="3"/>
      <c r="E98" s="3"/>
      <c r="F98" s="3"/>
      <c r="G98" s="3" t="s">
        <v>468</v>
      </c>
      <c r="H98" s="3"/>
      <c r="I98" s="3"/>
      <c r="J98" s="3"/>
      <c r="K98" s="3"/>
      <c r="L98" s="3"/>
      <c r="M98" s="3"/>
      <c r="N98" s="3"/>
      <c r="O98" s="3" t="s">
        <v>82</v>
      </c>
      <c r="P98" s="3"/>
      <c r="Q98" s="3"/>
      <c r="R98" s="3"/>
      <c r="S98" s="3"/>
      <c r="T98" s="3"/>
      <c r="U98" s="3" t="s">
        <v>83</v>
      </c>
      <c r="V98" s="3"/>
      <c r="W98" s="3"/>
      <c r="X98" s="3"/>
      <c r="Y98" s="3"/>
      <c r="Z98" s="3"/>
      <c r="AA98" s="3"/>
      <c r="AB98" s="3" t="s">
        <v>84</v>
      </c>
      <c r="AC98" s="3"/>
    </row>
    <row r="99" spans="1:29" x14ac:dyDescent="0.25">
      <c r="A99" s="3" t="s">
        <v>89</v>
      </c>
      <c r="B99" s="3"/>
      <c r="C99" s="3"/>
      <c r="D99" s="3"/>
      <c r="E99" s="3"/>
      <c r="F99" s="3" t="s">
        <v>90</v>
      </c>
      <c r="G99" s="3"/>
      <c r="H99" s="3"/>
      <c r="I99" s="3"/>
      <c r="J99" s="3"/>
      <c r="K99" s="3"/>
      <c r="L99" s="3"/>
      <c r="M99" s="3"/>
      <c r="N99" s="3" t="s">
        <v>462</v>
      </c>
      <c r="O99" s="3"/>
      <c r="P99" s="3"/>
      <c r="Q99" s="3"/>
      <c r="R99" s="3"/>
      <c r="S99" s="3"/>
      <c r="T99" s="3" t="s">
        <v>96</v>
      </c>
      <c r="U99" s="3"/>
      <c r="V99" s="3"/>
      <c r="W99" s="3"/>
      <c r="X99" s="3"/>
      <c r="Y99" s="3"/>
      <c r="Z99" s="3"/>
      <c r="AA99" s="3"/>
      <c r="AB99" s="3" t="s">
        <v>85</v>
      </c>
      <c r="AC99" s="3"/>
    </row>
    <row r="100" spans="1:29" x14ac:dyDescent="0.25">
      <c r="A100" s="3" t="s">
        <v>466</v>
      </c>
      <c r="B100" s="3"/>
      <c r="C100" s="3"/>
      <c r="D100" s="3"/>
      <c r="E100" s="3"/>
      <c r="F100" s="3" t="s">
        <v>91</v>
      </c>
      <c r="G100" s="3"/>
      <c r="H100" s="3"/>
      <c r="I100" s="3"/>
      <c r="J100" s="3"/>
      <c r="K100" s="3"/>
      <c r="L100" s="3"/>
      <c r="M100" s="3"/>
      <c r="N100" s="3" t="s">
        <v>94</v>
      </c>
      <c r="O100" s="3"/>
      <c r="P100" s="3"/>
      <c r="Q100" s="3"/>
      <c r="R100" s="3"/>
      <c r="S100" s="3"/>
      <c r="T100" s="3" t="s">
        <v>97</v>
      </c>
      <c r="U100" s="3"/>
      <c r="V100" s="3"/>
      <c r="W100" s="3"/>
      <c r="X100" s="3"/>
      <c r="Y100" s="3"/>
      <c r="Z100" s="3"/>
      <c r="AA100" s="3"/>
      <c r="AB100" s="3" t="s">
        <v>99</v>
      </c>
      <c r="AC100" s="3"/>
    </row>
    <row r="101" spans="1:29" x14ac:dyDescent="0.25">
      <c r="A101" s="3" t="s">
        <v>89</v>
      </c>
      <c r="B101" s="3"/>
      <c r="C101" s="3"/>
      <c r="D101" s="3"/>
      <c r="E101" s="3"/>
      <c r="F101" s="3" t="s">
        <v>92</v>
      </c>
      <c r="G101" s="3"/>
      <c r="H101" s="3"/>
      <c r="I101" s="3"/>
      <c r="J101" s="3"/>
      <c r="K101" s="3"/>
      <c r="L101" s="3"/>
      <c r="M101" s="3"/>
      <c r="N101" s="3" t="s">
        <v>95</v>
      </c>
      <c r="O101" s="3"/>
      <c r="P101" s="3"/>
      <c r="Q101" s="3"/>
      <c r="R101" s="3"/>
      <c r="S101" s="3"/>
      <c r="T101" s="3" t="s">
        <v>98</v>
      </c>
      <c r="U101" s="3"/>
      <c r="V101" s="3"/>
      <c r="W101" s="3"/>
      <c r="X101" s="3"/>
      <c r="Y101" s="3"/>
      <c r="Z101" s="3"/>
      <c r="AA101" s="3"/>
      <c r="AB101" s="3"/>
      <c r="AC101" s="3"/>
    </row>
    <row r="103" spans="1:29" ht="15.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5"/>
      <c r="X103" s="6"/>
      <c r="Y103" s="6"/>
      <c r="Z103" s="6"/>
      <c r="AA103" s="5"/>
      <c r="AB103" s="6"/>
      <c r="AC103" s="6"/>
    </row>
    <row r="104" spans="1:29" ht="15.6" x14ac:dyDescent="0.3">
      <c r="A104" s="6"/>
      <c r="B104" s="15" t="s">
        <v>494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 t="s">
        <v>467</v>
      </c>
      <c r="N104" s="6"/>
      <c r="O104" s="6"/>
      <c r="P104" s="6"/>
      <c r="Q104" s="6"/>
      <c r="R104" s="6"/>
      <c r="S104" s="6"/>
      <c r="T104" s="6"/>
      <c r="U104" s="6"/>
      <c r="V104" s="6"/>
      <c r="W104" s="5" t="s">
        <v>456</v>
      </c>
      <c r="X104" s="6"/>
      <c r="Y104" s="6"/>
      <c r="Z104" s="6"/>
      <c r="AA104" s="5"/>
      <c r="AB104" s="5"/>
      <c r="AC104" s="6"/>
    </row>
    <row r="105" spans="1:29" ht="15.6" x14ac:dyDescent="0.3">
      <c r="A105" s="6"/>
      <c r="B105" s="15" t="s">
        <v>81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5" t="s">
        <v>100</v>
      </c>
      <c r="X105" s="5"/>
      <c r="Y105" s="6"/>
      <c r="Z105" s="6"/>
      <c r="AA105" s="5"/>
      <c r="AB105" s="5"/>
      <c r="AC105" s="5"/>
    </row>
    <row r="106" spans="1:29" ht="15.6" x14ac:dyDescent="0.3">
      <c r="A106" s="6"/>
      <c r="B106" s="15" t="s">
        <v>459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5" t="s">
        <v>88</v>
      </c>
      <c r="X106" s="5"/>
      <c r="Y106" s="6"/>
      <c r="Z106" s="6"/>
      <c r="AA106" s="5"/>
      <c r="AB106" s="5"/>
      <c r="AC106" s="5"/>
    </row>
    <row r="107" spans="1:29" ht="15.6" x14ac:dyDescent="0.3">
      <c r="A107" s="6"/>
      <c r="B107" s="15" t="s">
        <v>460</v>
      </c>
      <c r="C107" s="6"/>
      <c r="D107" s="6"/>
      <c r="E107" s="6"/>
      <c r="F107" s="6"/>
      <c r="G107" s="6"/>
      <c r="H107" s="6"/>
      <c r="I107" s="6"/>
      <c r="J107" s="6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5" t="s">
        <v>87</v>
      </c>
      <c r="X107" s="5"/>
      <c r="Y107" s="5" t="s">
        <v>371</v>
      </c>
      <c r="Z107" s="6"/>
      <c r="AA107" s="5"/>
      <c r="AB107" s="5"/>
      <c r="AC107" s="5"/>
    </row>
    <row r="108" spans="1:29" ht="15.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 t="s">
        <v>372</v>
      </c>
      <c r="X108" s="5"/>
      <c r="Y108" s="6"/>
      <c r="Z108" s="6"/>
      <c r="AA108" s="5"/>
      <c r="AB108" s="5"/>
      <c r="AC108" s="5"/>
    </row>
    <row r="109" spans="1:29" ht="15.6" x14ac:dyDescent="0.3">
      <c r="A109" s="6"/>
      <c r="B109" s="6"/>
      <c r="C109" s="5" t="s">
        <v>482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/>
      <c r="X109" s="5"/>
      <c r="Y109" s="6"/>
      <c r="Z109" s="6"/>
      <c r="AA109" s="5"/>
      <c r="AB109" s="5"/>
      <c r="AC109" s="5"/>
    </row>
    <row r="110" spans="1:29" ht="15.6" x14ac:dyDescent="0.3">
      <c r="A110" s="57" t="s">
        <v>0</v>
      </c>
      <c r="B110" s="38" t="s">
        <v>469</v>
      </c>
      <c r="C110" s="60" t="s">
        <v>457</v>
      </c>
      <c r="D110" s="61"/>
      <c r="E110" s="62"/>
      <c r="F110" s="60" t="s">
        <v>1</v>
      </c>
      <c r="G110" s="61"/>
      <c r="H110" s="62"/>
      <c r="I110" s="60" t="s">
        <v>2</v>
      </c>
      <c r="J110" s="61"/>
      <c r="K110" s="62"/>
      <c r="L110" s="60" t="s">
        <v>8</v>
      </c>
      <c r="M110" s="61"/>
      <c r="N110" s="62"/>
      <c r="O110" s="60" t="s">
        <v>3</v>
      </c>
      <c r="P110" s="61"/>
      <c r="Q110" s="62"/>
      <c r="R110" s="31"/>
      <c r="S110" s="31" t="s">
        <v>4</v>
      </c>
      <c r="T110" s="31"/>
      <c r="U110" s="60" t="s">
        <v>5</v>
      </c>
      <c r="V110" s="61"/>
      <c r="W110" s="62"/>
      <c r="X110" s="57" t="s">
        <v>16</v>
      </c>
      <c r="Y110" s="57" t="s">
        <v>17</v>
      </c>
      <c r="Z110" s="57" t="s">
        <v>18</v>
      </c>
      <c r="AA110" s="57" t="s">
        <v>19</v>
      </c>
      <c r="AB110" s="57" t="s">
        <v>20</v>
      </c>
      <c r="AC110" s="57" t="s">
        <v>21</v>
      </c>
    </row>
    <row r="111" spans="1:29" ht="55.2" x14ac:dyDescent="0.25">
      <c r="A111" s="58"/>
      <c r="B111" s="35" t="s">
        <v>470</v>
      </c>
      <c r="C111" s="32" t="s">
        <v>6</v>
      </c>
      <c r="D111" s="32" t="s">
        <v>461</v>
      </c>
      <c r="E111" s="32" t="s">
        <v>7</v>
      </c>
      <c r="F111" s="32" t="s">
        <v>6</v>
      </c>
      <c r="G111" s="32" t="s">
        <v>461</v>
      </c>
      <c r="H111" s="32" t="s">
        <v>7</v>
      </c>
      <c r="I111" s="32" t="s">
        <v>6</v>
      </c>
      <c r="J111" s="32" t="s">
        <v>461</v>
      </c>
      <c r="K111" s="32" t="s">
        <v>7</v>
      </c>
      <c r="L111" s="32" t="s">
        <v>6</v>
      </c>
      <c r="M111" s="32" t="s">
        <v>461</v>
      </c>
      <c r="N111" s="32" t="s">
        <v>7</v>
      </c>
      <c r="O111" s="32" t="s">
        <v>6</v>
      </c>
      <c r="P111" s="32" t="s">
        <v>461</v>
      </c>
      <c r="Q111" s="32" t="s">
        <v>7</v>
      </c>
      <c r="R111" s="32" t="s">
        <v>6</v>
      </c>
      <c r="S111" s="32" t="s">
        <v>461</v>
      </c>
      <c r="T111" s="32" t="s">
        <v>7</v>
      </c>
      <c r="U111" s="32" t="s">
        <v>6</v>
      </c>
      <c r="V111" s="32" t="s">
        <v>461</v>
      </c>
      <c r="W111" s="32" t="s">
        <v>7</v>
      </c>
      <c r="X111" s="58"/>
      <c r="Y111" s="58"/>
      <c r="Z111" s="58"/>
      <c r="AA111" s="58"/>
      <c r="AB111" s="58"/>
      <c r="AC111" s="58"/>
    </row>
    <row r="112" spans="1:29" ht="15.6" x14ac:dyDescent="0.3">
      <c r="A112" s="59"/>
      <c r="B112" s="36"/>
      <c r="C112" s="33">
        <v>50</v>
      </c>
      <c r="D112" s="33">
        <v>50</v>
      </c>
      <c r="E112" s="33">
        <v>100</v>
      </c>
      <c r="F112" s="33">
        <v>50</v>
      </c>
      <c r="G112" s="33">
        <v>50</v>
      </c>
      <c r="H112" s="33">
        <v>100</v>
      </c>
      <c r="I112" s="33">
        <v>50</v>
      </c>
      <c r="J112" s="33">
        <v>50</v>
      </c>
      <c r="K112" s="33">
        <v>100</v>
      </c>
      <c r="L112" s="33">
        <v>50</v>
      </c>
      <c r="M112" s="33">
        <v>50</v>
      </c>
      <c r="N112" s="33">
        <v>100</v>
      </c>
      <c r="O112" s="33">
        <v>50</v>
      </c>
      <c r="P112" s="33">
        <v>50</v>
      </c>
      <c r="Q112" s="33">
        <v>100</v>
      </c>
      <c r="R112" s="33">
        <v>50</v>
      </c>
      <c r="S112" s="33">
        <v>50</v>
      </c>
      <c r="T112" s="33">
        <v>100</v>
      </c>
      <c r="U112" s="33">
        <v>50</v>
      </c>
      <c r="V112" s="33">
        <v>50</v>
      </c>
      <c r="W112" s="33">
        <v>100</v>
      </c>
      <c r="X112" s="59"/>
      <c r="Y112" s="59"/>
      <c r="Z112" s="59"/>
      <c r="AA112" s="59"/>
      <c r="AB112" s="59"/>
      <c r="AC112" s="59"/>
    </row>
    <row r="113" spans="1:29" ht="15.6" x14ac:dyDescent="0.3">
      <c r="A113" s="16">
        <v>1</v>
      </c>
      <c r="B113" s="21" t="s">
        <v>471</v>
      </c>
      <c r="C113" s="16">
        <v>50</v>
      </c>
      <c r="D113" s="16">
        <v>50</v>
      </c>
      <c r="E113" s="33">
        <f t="shared" ref="E113:E132" si="18">SUM(C113:D113)</f>
        <v>100</v>
      </c>
      <c r="F113" s="16">
        <v>50</v>
      </c>
      <c r="G113" s="16">
        <v>50</v>
      </c>
      <c r="H113" s="33">
        <f t="shared" ref="H113:H132" si="19">SUM(F113:G113)</f>
        <v>100</v>
      </c>
      <c r="I113" s="16">
        <v>50</v>
      </c>
      <c r="J113" s="16">
        <v>50</v>
      </c>
      <c r="K113" s="33">
        <f t="shared" ref="K113:K132" si="20">SUM(I113:J113)</f>
        <v>100</v>
      </c>
      <c r="L113" s="16"/>
      <c r="M113" s="16"/>
      <c r="N113" s="33"/>
      <c r="O113" s="16">
        <v>50</v>
      </c>
      <c r="P113" s="16">
        <v>50</v>
      </c>
      <c r="Q113" s="33">
        <f t="shared" ref="Q113:Q132" si="21">SUM(O113:P113)</f>
        <v>100</v>
      </c>
      <c r="R113" s="16"/>
      <c r="S113" s="16"/>
      <c r="T113" s="33"/>
      <c r="U113" s="16">
        <v>50</v>
      </c>
      <c r="V113" s="16">
        <v>50</v>
      </c>
      <c r="W113" s="33">
        <f>SUM(U113:V113)</f>
        <v>100</v>
      </c>
      <c r="X113" s="20"/>
      <c r="Y113" s="20"/>
      <c r="Z113" s="20"/>
      <c r="AA113" s="33">
        <f t="shared" ref="AA113:AA132" si="22">SUM(W113,Q113,K113,H113,E113)</f>
        <v>500</v>
      </c>
      <c r="AB113" s="16" t="s">
        <v>117</v>
      </c>
      <c r="AC113" s="19"/>
    </row>
    <row r="114" spans="1:29" ht="15.6" x14ac:dyDescent="0.3">
      <c r="A114" s="16">
        <v>2</v>
      </c>
      <c r="B114" s="17" t="s">
        <v>9</v>
      </c>
      <c r="C114" s="16">
        <v>28</v>
      </c>
      <c r="D114" s="16">
        <v>25</v>
      </c>
      <c r="E114" s="33">
        <f t="shared" si="18"/>
        <v>53</v>
      </c>
      <c r="F114" s="16">
        <v>25</v>
      </c>
      <c r="G114" s="16">
        <v>25</v>
      </c>
      <c r="H114" s="33">
        <f t="shared" si="19"/>
        <v>50</v>
      </c>
      <c r="I114" s="16">
        <v>31</v>
      </c>
      <c r="J114" s="16">
        <v>28</v>
      </c>
      <c r="K114" s="33">
        <f t="shared" si="20"/>
        <v>59</v>
      </c>
      <c r="L114" s="16"/>
      <c r="M114" s="16"/>
      <c r="N114" s="33"/>
      <c r="O114" s="16">
        <v>42</v>
      </c>
      <c r="P114" s="16">
        <v>30</v>
      </c>
      <c r="Q114" s="33">
        <f t="shared" si="21"/>
        <v>72</v>
      </c>
      <c r="R114" s="16"/>
      <c r="S114" s="16"/>
      <c r="T114" s="33"/>
      <c r="U114" s="16">
        <v>28</v>
      </c>
      <c r="V114" s="16">
        <v>28</v>
      </c>
      <c r="W114" s="33">
        <f t="shared" ref="W114:W132" si="23">SUM(U114:V114)</f>
        <v>56</v>
      </c>
      <c r="X114" s="20"/>
      <c r="Y114" s="20"/>
      <c r="Z114" s="20"/>
      <c r="AA114" s="33">
        <f t="shared" si="22"/>
        <v>290</v>
      </c>
      <c r="AB114" s="16" t="s">
        <v>117</v>
      </c>
      <c r="AC114" s="19"/>
    </row>
    <row r="115" spans="1:29" ht="15.6" x14ac:dyDescent="0.3">
      <c r="A115" s="16">
        <v>3</v>
      </c>
      <c r="B115" s="17" t="s">
        <v>10</v>
      </c>
      <c r="C115" s="16">
        <v>49</v>
      </c>
      <c r="D115" s="16">
        <v>50</v>
      </c>
      <c r="E115" s="33">
        <f t="shared" si="18"/>
        <v>99</v>
      </c>
      <c r="F115" s="16">
        <v>50</v>
      </c>
      <c r="G115" s="16">
        <v>50</v>
      </c>
      <c r="H115" s="33">
        <f t="shared" si="19"/>
        <v>100</v>
      </c>
      <c r="I115" s="16">
        <v>50</v>
      </c>
      <c r="J115" s="16">
        <v>50</v>
      </c>
      <c r="K115" s="33">
        <f t="shared" si="20"/>
        <v>100</v>
      </c>
      <c r="L115" s="16"/>
      <c r="M115" s="16"/>
      <c r="N115" s="33"/>
      <c r="O115" s="16">
        <v>50</v>
      </c>
      <c r="P115" s="16">
        <v>50</v>
      </c>
      <c r="Q115" s="33">
        <f t="shared" si="21"/>
        <v>100</v>
      </c>
      <c r="R115" s="16"/>
      <c r="S115" s="16"/>
      <c r="T115" s="33"/>
      <c r="U115" s="16">
        <v>48</v>
      </c>
      <c r="V115" s="16">
        <v>50</v>
      </c>
      <c r="W115" s="33">
        <f t="shared" si="23"/>
        <v>98</v>
      </c>
      <c r="X115" s="20"/>
      <c r="Y115" s="20"/>
      <c r="Z115" s="20"/>
      <c r="AA115" s="33">
        <f t="shared" si="22"/>
        <v>497</v>
      </c>
      <c r="AB115" s="16" t="s">
        <v>117</v>
      </c>
      <c r="AC115" s="19"/>
    </row>
    <row r="116" spans="1:29" ht="15.6" x14ac:dyDescent="0.3">
      <c r="A116" s="16">
        <v>4</v>
      </c>
      <c r="B116" s="17" t="s">
        <v>11</v>
      </c>
      <c r="C116" s="16">
        <v>46</v>
      </c>
      <c r="D116" s="16">
        <v>45</v>
      </c>
      <c r="E116" s="33">
        <f t="shared" si="18"/>
        <v>91</v>
      </c>
      <c r="F116" s="16">
        <v>39</v>
      </c>
      <c r="G116" s="16">
        <v>35</v>
      </c>
      <c r="H116" s="33">
        <f t="shared" si="19"/>
        <v>74</v>
      </c>
      <c r="I116" s="16">
        <v>35</v>
      </c>
      <c r="J116" s="16">
        <v>31</v>
      </c>
      <c r="K116" s="33">
        <f t="shared" si="20"/>
        <v>66</v>
      </c>
      <c r="L116" s="16"/>
      <c r="M116" s="16"/>
      <c r="N116" s="33"/>
      <c r="O116" s="16">
        <v>44</v>
      </c>
      <c r="P116" s="16">
        <v>33</v>
      </c>
      <c r="Q116" s="33">
        <f t="shared" si="21"/>
        <v>77</v>
      </c>
      <c r="R116" s="16"/>
      <c r="S116" s="16"/>
      <c r="T116" s="33"/>
      <c r="U116" s="16">
        <v>28</v>
      </c>
      <c r="V116" s="16">
        <v>29</v>
      </c>
      <c r="W116" s="33">
        <f t="shared" si="23"/>
        <v>57</v>
      </c>
      <c r="X116" s="20"/>
      <c r="Y116" s="20"/>
      <c r="Z116" s="20"/>
      <c r="AA116" s="33">
        <f t="shared" si="22"/>
        <v>365</v>
      </c>
      <c r="AB116" s="16" t="s">
        <v>117</v>
      </c>
      <c r="AC116" s="19"/>
    </row>
    <row r="117" spans="1:29" ht="15.6" x14ac:dyDescent="0.3">
      <c r="A117" s="16">
        <v>5</v>
      </c>
      <c r="B117" s="17" t="s">
        <v>497</v>
      </c>
      <c r="C117" s="16">
        <v>21</v>
      </c>
      <c r="D117" s="16">
        <v>29</v>
      </c>
      <c r="E117" s="33">
        <f t="shared" si="18"/>
        <v>50</v>
      </c>
      <c r="F117" s="16">
        <v>24</v>
      </c>
      <c r="G117" s="16">
        <v>26</v>
      </c>
      <c r="H117" s="33">
        <f t="shared" si="19"/>
        <v>50</v>
      </c>
      <c r="I117" s="16">
        <v>40</v>
      </c>
      <c r="J117" s="16">
        <v>28</v>
      </c>
      <c r="K117" s="33">
        <f t="shared" si="20"/>
        <v>68</v>
      </c>
      <c r="L117" s="16"/>
      <c r="M117" s="16"/>
      <c r="N117" s="33"/>
      <c r="O117" s="16">
        <v>21</v>
      </c>
      <c r="P117" s="16">
        <v>30</v>
      </c>
      <c r="Q117" s="33">
        <f t="shared" si="21"/>
        <v>51</v>
      </c>
      <c r="R117" s="16"/>
      <c r="S117" s="16"/>
      <c r="T117" s="33"/>
      <c r="U117" s="16">
        <v>24</v>
      </c>
      <c r="V117" s="16">
        <v>26</v>
      </c>
      <c r="W117" s="33">
        <f t="shared" si="23"/>
        <v>50</v>
      </c>
      <c r="X117" s="20"/>
      <c r="Y117" s="20"/>
      <c r="Z117" s="20"/>
      <c r="AA117" s="33">
        <f t="shared" si="22"/>
        <v>269</v>
      </c>
      <c r="AB117" s="16" t="s">
        <v>117</v>
      </c>
      <c r="AC117" s="19"/>
    </row>
    <row r="118" spans="1:29" ht="15.6" x14ac:dyDescent="0.3">
      <c r="A118" s="16">
        <v>6</v>
      </c>
      <c r="B118" s="17" t="s">
        <v>431</v>
      </c>
      <c r="C118" s="16">
        <v>45</v>
      </c>
      <c r="D118" s="16">
        <v>33</v>
      </c>
      <c r="E118" s="33">
        <f t="shared" si="18"/>
        <v>78</v>
      </c>
      <c r="F118" s="16">
        <v>26</v>
      </c>
      <c r="G118" s="16">
        <v>32</v>
      </c>
      <c r="H118" s="33">
        <f t="shared" si="19"/>
        <v>58</v>
      </c>
      <c r="I118" s="16">
        <v>29</v>
      </c>
      <c r="J118" s="16">
        <v>35</v>
      </c>
      <c r="K118" s="33">
        <f t="shared" si="20"/>
        <v>64</v>
      </c>
      <c r="L118" s="16"/>
      <c r="M118" s="16"/>
      <c r="N118" s="33"/>
      <c r="O118" s="16">
        <v>25</v>
      </c>
      <c r="P118" s="16">
        <v>29</v>
      </c>
      <c r="Q118" s="33">
        <f t="shared" si="21"/>
        <v>54</v>
      </c>
      <c r="R118" s="16"/>
      <c r="S118" s="16"/>
      <c r="T118" s="33"/>
      <c r="U118" s="16">
        <v>28</v>
      </c>
      <c r="V118" s="16">
        <v>28</v>
      </c>
      <c r="W118" s="33">
        <f t="shared" si="23"/>
        <v>56</v>
      </c>
      <c r="X118" s="20"/>
      <c r="Y118" s="20"/>
      <c r="Z118" s="20"/>
      <c r="AA118" s="33">
        <f t="shared" si="22"/>
        <v>310</v>
      </c>
      <c r="AB118" s="16" t="s">
        <v>117</v>
      </c>
      <c r="AC118" s="19"/>
    </row>
    <row r="119" spans="1:29" ht="15.6" x14ac:dyDescent="0.3">
      <c r="A119" s="16">
        <v>7</v>
      </c>
      <c r="B119" s="17" t="s">
        <v>32</v>
      </c>
      <c r="C119" s="16">
        <v>22</v>
      </c>
      <c r="D119" s="16">
        <v>28</v>
      </c>
      <c r="E119" s="33">
        <f t="shared" si="18"/>
        <v>50</v>
      </c>
      <c r="F119" s="16">
        <v>21</v>
      </c>
      <c r="G119" s="16">
        <v>29</v>
      </c>
      <c r="H119" s="33">
        <f t="shared" si="19"/>
        <v>50</v>
      </c>
      <c r="I119" s="16">
        <v>27</v>
      </c>
      <c r="J119" s="16">
        <v>28</v>
      </c>
      <c r="K119" s="33">
        <f t="shared" si="20"/>
        <v>55</v>
      </c>
      <c r="L119" s="16"/>
      <c r="M119" s="16"/>
      <c r="N119" s="33"/>
      <c r="O119" s="16">
        <v>22</v>
      </c>
      <c r="P119" s="16">
        <v>29</v>
      </c>
      <c r="Q119" s="33">
        <f t="shared" si="21"/>
        <v>51</v>
      </c>
      <c r="R119" s="16"/>
      <c r="S119" s="16"/>
      <c r="T119" s="33"/>
      <c r="U119" s="16">
        <v>20</v>
      </c>
      <c r="V119" s="16">
        <v>30</v>
      </c>
      <c r="W119" s="33">
        <f t="shared" si="23"/>
        <v>50</v>
      </c>
      <c r="X119" s="20"/>
      <c r="Y119" s="20"/>
      <c r="Z119" s="20"/>
      <c r="AA119" s="33">
        <f t="shared" si="22"/>
        <v>256</v>
      </c>
      <c r="AB119" s="16" t="s">
        <v>117</v>
      </c>
      <c r="AC119" s="19"/>
    </row>
    <row r="120" spans="1:29" ht="15.6" x14ac:dyDescent="0.3">
      <c r="A120" s="16">
        <v>8</v>
      </c>
      <c r="B120" s="17" t="s">
        <v>12</v>
      </c>
      <c r="C120" s="16">
        <v>50</v>
      </c>
      <c r="D120" s="16">
        <v>50</v>
      </c>
      <c r="E120" s="33">
        <f t="shared" si="18"/>
        <v>100</v>
      </c>
      <c r="F120" s="16">
        <v>50</v>
      </c>
      <c r="G120" s="16">
        <v>50</v>
      </c>
      <c r="H120" s="33">
        <f t="shared" si="19"/>
        <v>100</v>
      </c>
      <c r="I120" s="16">
        <v>50</v>
      </c>
      <c r="J120" s="16">
        <v>50</v>
      </c>
      <c r="K120" s="33">
        <f t="shared" si="20"/>
        <v>100</v>
      </c>
      <c r="L120" s="16"/>
      <c r="M120" s="16"/>
      <c r="N120" s="33"/>
      <c r="O120" s="16">
        <v>50</v>
      </c>
      <c r="P120" s="16">
        <v>50</v>
      </c>
      <c r="Q120" s="33">
        <f t="shared" si="21"/>
        <v>100</v>
      </c>
      <c r="R120" s="16"/>
      <c r="S120" s="16"/>
      <c r="T120" s="33"/>
      <c r="U120" s="16">
        <v>50</v>
      </c>
      <c r="V120" s="16">
        <v>50</v>
      </c>
      <c r="W120" s="33">
        <f t="shared" si="23"/>
        <v>100</v>
      </c>
      <c r="X120" s="20"/>
      <c r="Y120" s="20"/>
      <c r="Z120" s="20"/>
      <c r="AA120" s="33">
        <f t="shared" si="22"/>
        <v>500</v>
      </c>
      <c r="AB120" s="16" t="s">
        <v>117</v>
      </c>
      <c r="AC120" s="19"/>
    </row>
    <row r="121" spans="1:29" ht="15.6" x14ac:dyDescent="0.3">
      <c r="A121" s="16">
        <v>9</v>
      </c>
      <c r="B121" s="17" t="s">
        <v>33</v>
      </c>
      <c r="C121" s="16">
        <v>38</v>
      </c>
      <c r="D121" s="16">
        <v>28</v>
      </c>
      <c r="E121" s="33">
        <f t="shared" si="18"/>
        <v>66</v>
      </c>
      <c r="F121" s="16">
        <v>39</v>
      </c>
      <c r="G121" s="16">
        <v>32</v>
      </c>
      <c r="H121" s="33">
        <f t="shared" si="19"/>
        <v>71</v>
      </c>
      <c r="I121" s="16">
        <v>28</v>
      </c>
      <c r="J121" s="16">
        <v>38</v>
      </c>
      <c r="K121" s="33">
        <f t="shared" si="20"/>
        <v>66</v>
      </c>
      <c r="L121" s="16"/>
      <c r="M121" s="16"/>
      <c r="N121" s="33"/>
      <c r="O121" s="16">
        <v>50</v>
      </c>
      <c r="P121" s="16">
        <v>35</v>
      </c>
      <c r="Q121" s="33">
        <f t="shared" si="21"/>
        <v>85</v>
      </c>
      <c r="R121" s="16"/>
      <c r="S121" s="16"/>
      <c r="T121" s="33"/>
      <c r="U121" s="16">
        <v>50</v>
      </c>
      <c r="V121" s="16">
        <v>43</v>
      </c>
      <c r="W121" s="33">
        <f t="shared" si="23"/>
        <v>93</v>
      </c>
      <c r="X121" s="20"/>
      <c r="Y121" s="20"/>
      <c r="Z121" s="20"/>
      <c r="AA121" s="33">
        <f t="shared" si="22"/>
        <v>381</v>
      </c>
      <c r="AB121" s="16" t="s">
        <v>117</v>
      </c>
      <c r="AC121" s="19"/>
    </row>
    <row r="122" spans="1:29" ht="15.6" x14ac:dyDescent="0.3">
      <c r="A122" s="16">
        <v>10</v>
      </c>
      <c r="B122" s="17" t="s">
        <v>14</v>
      </c>
      <c r="C122" s="16">
        <v>33</v>
      </c>
      <c r="D122" s="16">
        <v>44</v>
      </c>
      <c r="E122" s="33">
        <f t="shared" si="18"/>
        <v>77</v>
      </c>
      <c r="F122" s="16">
        <v>32</v>
      </c>
      <c r="G122" s="16">
        <v>44</v>
      </c>
      <c r="H122" s="33">
        <f t="shared" si="19"/>
        <v>76</v>
      </c>
      <c r="I122" s="16">
        <v>30</v>
      </c>
      <c r="J122" s="16">
        <v>42</v>
      </c>
      <c r="K122" s="33">
        <f t="shared" si="20"/>
        <v>72</v>
      </c>
      <c r="L122" s="16"/>
      <c r="M122" s="16"/>
      <c r="N122" s="33"/>
      <c r="O122" s="16">
        <v>35</v>
      </c>
      <c r="P122" s="16">
        <v>44</v>
      </c>
      <c r="Q122" s="33">
        <f t="shared" si="21"/>
        <v>79</v>
      </c>
      <c r="R122" s="16"/>
      <c r="S122" s="16"/>
      <c r="T122" s="33"/>
      <c r="U122" s="16">
        <v>36</v>
      </c>
      <c r="V122" s="16">
        <v>33</v>
      </c>
      <c r="W122" s="33">
        <f t="shared" si="23"/>
        <v>69</v>
      </c>
      <c r="X122" s="20"/>
      <c r="Y122" s="20"/>
      <c r="Z122" s="20"/>
      <c r="AA122" s="33">
        <f t="shared" si="22"/>
        <v>373</v>
      </c>
      <c r="AB122" s="16" t="s">
        <v>117</v>
      </c>
      <c r="AC122" s="19"/>
    </row>
    <row r="123" spans="1:29" ht="15.6" x14ac:dyDescent="0.3">
      <c r="A123" s="16">
        <v>11</v>
      </c>
      <c r="B123" s="17" t="s">
        <v>498</v>
      </c>
      <c r="C123" s="16">
        <v>48</v>
      </c>
      <c r="D123" s="16">
        <v>27</v>
      </c>
      <c r="E123" s="33">
        <f t="shared" si="18"/>
        <v>75</v>
      </c>
      <c r="F123" s="16">
        <v>50</v>
      </c>
      <c r="G123" s="16">
        <v>38</v>
      </c>
      <c r="H123" s="33">
        <f t="shared" si="19"/>
        <v>88</v>
      </c>
      <c r="I123" s="16">
        <v>45</v>
      </c>
      <c r="J123" s="16">
        <v>35</v>
      </c>
      <c r="K123" s="33">
        <f t="shared" si="20"/>
        <v>80</v>
      </c>
      <c r="L123" s="16"/>
      <c r="M123" s="16"/>
      <c r="N123" s="33"/>
      <c r="O123" s="16">
        <v>32</v>
      </c>
      <c r="P123" s="16">
        <v>30</v>
      </c>
      <c r="Q123" s="33">
        <f t="shared" si="21"/>
        <v>62</v>
      </c>
      <c r="R123" s="16"/>
      <c r="S123" s="16"/>
      <c r="T123" s="33"/>
      <c r="U123" s="16">
        <v>32</v>
      </c>
      <c r="V123" s="16">
        <v>44</v>
      </c>
      <c r="W123" s="33">
        <f t="shared" si="23"/>
        <v>76</v>
      </c>
      <c r="X123" s="20"/>
      <c r="Y123" s="20"/>
      <c r="Z123" s="20"/>
      <c r="AA123" s="33">
        <f t="shared" si="22"/>
        <v>381</v>
      </c>
      <c r="AB123" s="16" t="s">
        <v>117</v>
      </c>
      <c r="AC123" s="19"/>
    </row>
    <row r="124" spans="1:29" ht="15.6" x14ac:dyDescent="0.3">
      <c r="A124" s="16">
        <v>12</v>
      </c>
      <c r="B124" s="17" t="s">
        <v>476</v>
      </c>
      <c r="C124" s="16">
        <v>27</v>
      </c>
      <c r="D124" s="16">
        <v>25</v>
      </c>
      <c r="E124" s="33">
        <f t="shared" si="18"/>
        <v>52</v>
      </c>
      <c r="F124" s="16">
        <v>31</v>
      </c>
      <c r="G124" s="16">
        <v>33</v>
      </c>
      <c r="H124" s="33">
        <f t="shared" si="19"/>
        <v>64</v>
      </c>
      <c r="I124" s="16">
        <v>28</v>
      </c>
      <c r="J124" s="16">
        <v>30</v>
      </c>
      <c r="K124" s="33">
        <f t="shared" si="20"/>
        <v>58</v>
      </c>
      <c r="L124" s="16"/>
      <c r="M124" s="16"/>
      <c r="N124" s="33"/>
      <c r="O124" s="16">
        <v>26</v>
      </c>
      <c r="P124" s="16">
        <v>32</v>
      </c>
      <c r="Q124" s="33">
        <f t="shared" si="21"/>
        <v>58</v>
      </c>
      <c r="R124" s="16"/>
      <c r="S124" s="16"/>
      <c r="T124" s="33"/>
      <c r="U124" s="16">
        <v>25</v>
      </c>
      <c r="V124" s="16">
        <v>27</v>
      </c>
      <c r="W124" s="33">
        <f t="shared" si="23"/>
        <v>52</v>
      </c>
      <c r="X124" s="20"/>
      <c r="Y124" s="20"/>
      <c r="Z124" s="20"/>
      <c r="AA124" s="33">
        <f t="shared" si="22"/>
        <v>284</v>
      </c>
      <c r="AB124" s="16" t="s">
        <v>117</v>
      </c>
      <c r="AC124" s="19"/>
    </row>
    <row r="125" spans="1:29" ht="15.6" x14ac:dyDescent="0.3">
      <c r="A125" s="16">
        <v>13</v>
      </c>
      <c r="B125" s="17" t="s">
        <v>373</v>
      </c>
      <c r="C125" s="16">
        <v>50</v>
      </c>
      <c r="D125" s="16">
        <v>50</v>
      </c>
      <c r="E125" s="33">
        <f t="shared" si="18"/>
        <v>100</v>
      </c>
      <c r="F125" s="16">
        <v>50</v>
      </c>
      <c r="G125" s="16">
        <v>50</v>
      </c>
      <c r="H125" s="33">
        <f t="shared" si="19"/>
        <v>100</v>
      </c>
      <c r="I125" s="16">
        <v>50</v>
      </c>
      <c r="J125" s="16">
        <v>50</v>
      </c>
      <c r="K125" s="33">
        <f t="shared" si="20"/>
        <v>100</v>
      </c>
      <c r="L125" s="16"/>
      <c r="M125" s="16"/>
      <c r="N125" s="33"/>
      <c r="O125" s="16">
        <v>50</v>
      </c>
      <c r="P125" s="16">
        <v>50</v>
      </c>
      <c r="Q125" s="33">
        <f t="shared" si="21"/>
        <v>100</v>
      </c>
      <c r="R125" s="16"/>
      <c r="S125" s="16"/>
      <c r="T125" s="33"/>
      <c r="U125" s="16">
        <v>50</v>
      </c>
      <c r="V125" s="16">
        <v>50</v>
      </c>
      <c r="W125" s="33">
        <f>SUM(U125:V125)</f>
        <v>100</v>
      </c>
      <c r="X125" s="20"/>
      <c r="Y125" s="20"/>
      <c r="Z125" s="20"/>
      <c r="AA125" s="33">
        <f t="shared" si="22"/>
        <v>500</v>
      </c>
      <c r="AB125" s="16" t="s">
        <v>117</v>
      </c>
      <c r="AC125" s="19"/>
    </row>
    <row r="126" spans="1:29" ht="15.6" x14ac:dyDescent="0.3">
      <c r="A126" s="16">
        <v>14</v>
      </c>
      <c r="B126" s="17" t="s">
        <v>34</v>
      </c>
      <c r="C126" s="16">
        <v>45</v>
      </c>
      <c r="D126" s="16">
        <v>44</v>
      </c>
      <c r="E126" s="33">
        <f t="shared" si="18"/>
        <v>89</v>
      </c>
      <c r="F126" s="16">
        <v>45</v>
      </c>
      <c r="G126" s="16">
        <v>33</v>
      </c>
      <c r="H126" s="33">
        <f t="shared" si="19"/>
        <v>78</v>
      </c>
      <c r="I126" s="16">
        <v>40</v>
      </c>
      <c r="J126" s="16">
        <v>41</v>
      </c>
      <c r="K126" s="33">
        <f t="shared" si="20"/>
        <v>81</v>
      </c>
      <c r="L126" s="16"/>
      <c r="M126" s="16"/>
      <c r="N126" s="33"/>
      <c r="O126" s="16">
        <v>35</v>
      </c>
      <c r="P126" s="16">
        <v>47</v>
      </c>
      <c r="Q126" s="33">
        <f t="shared" si="21"/>
        <v>82</v>
      </c>
      <c r="R126" s="16"/>
      <c r="S126" s="16"/>
      <c r="T126" s="33"/>
      <c r="U126" s="16">
        <v>40</v>
      </c>
      <c r="V126" s="16">
        <v>32</v>
      </c>
      <c r="W126" s="33">
        <f t="shared" si="23"/>
        <v>72</v>
      </c>
      <c r="X126" s="20"/>
      <c r="Y126" s="20"/>
      <c r="Z126" s="20"/>
      <c r="AA126" s="33">
        <f t="shared" si="22"/>
        <v>402</v>
      </c>
      <c r="AB126" s="16" t="s">
        <v>117</v>
      </c>
      <c r="AC126" s="19"/>
    </row>
    <row r="127" spans="1:29" ht="15.6" x14ac:dyDescent="0.3">
      <c r="A127" s="16">
        <v>15</v>
      </c>
      <c r="B127" s="17" t="s">
        <v>432</v>
      </c>
      <c r="C127" s="16">
        <v>38</v>
      </c>
      <c r="D127" s="16">
        <v>31</v>
      </c>
      <c r="E127" s="33">
        <f t="shared" si="18"/>
        <v>69</v>
      </c>
      <c r="F127" s="16">
        <v>49</v>
      </c>
      <c r="G127" s="16">
        <v>24</v>
      </c>
      <c r="H127" s="33">
        <f t="shared" si="19"/>
        <v>73</v>
      </c>
      <c r="I127" s="16">
        <v>34</v>
      </c>
      <c r="J127" s="16">
        <v>34</v>
      </c>
      <c r="K127" s="33">
        <f t="shared" si="20"/>
        <v>68</v>
      </c>
      <c r="L127" s="16"/>
      <c r="M127" s="16"/>
      <c r="N127" s="33"/>
      <c r="O127" s="16">
        <v>34</v>
      </c>
      <c r="P127" s="16">
        <v>36</v>
      </c>
      <c r="Q127" s="33">
        <f t="shared" si="21"/>
        <v>70</v>
      </c>
      <c r="R127" s="16"/>
      <c r="S127" s="16"/>
      <c r="T127" s="33"/>
      <c r="U127" s="16">
        <v>28</v>
      </c>
      <c r="V127" s="16">
        <v>30</v>
      </c>
      <c r="W127" s="33">
        <f t="shared" si="23"/>
        <v>58</v>
      </c>
      <c r="X127" s="20"/>
      <c r="Y127" s="20"/>
      <c r="Z127" s="20"/>
      <c r="AA127" s="33">
        <f t="shared" si="22"/>
        <v>338</v>
      </c>
      <c r="AB127" s="16" t="s">
        <v>117</v>
      </c>
      <c r="AC127" s="19"/>
    </row>
    <row r="128" spans="1:29" ht="15.6" x14ac:dyDescent="0.3">
      <c r="A128" s="16">
        <v>16</v>
      </c>
      <c r="B128" s="17" t="s">
        <v>374</v>
      </c>
      <c r="C128" s="16">
        <v>50</v>
      </c>
      <c r="D128" s="16">
        <v>50</v>
      </c>
      <c r="E128" s="33">
        <f t="shared" si="18"/>
        <v>100</v>
      </c>
      <c r="F128" s="16">
        <v>50</v>
      </c>
      <c r="G128" s="16">
        <v>50</v>
      </c>
      <c r="H128" s="33">
        <f t="shared" si="19"/>
        <v>100</v>
      </c>
      <c r="I128" s="16">
        <v>50</v>
      </c>
      <c r="J128" s="16">
        <v>44</v>
      </c>
      <c r="K128" s="33">
        <f t="shared" si="20"/>
        <v>94</v>
      </c>
      <c r="L128" s="16"/>
      <c r="M128" s="16"/>
      <c r="N128" s="33"/>
      <c r="O128" s="16">
        <v>50</v>
      </c>
      <c r="P128" s="16">
        <v>46</v>
      </c>
      <c r="Q128" s="33">
        <f t="shared" si="21"/>
        <v>96</v>
      </c>
      <c r="R128" s="16"/>
      <c r="S128" s="16"/>
      <c r="T128" s="33"/>
      <c r="U128" s="16">
        <v>50</v>
      </c>
      <c r="V128" s="16">
        <v>48</v>
      </c>
      <c r="W128" s="33">
        <f t="shared" si="23"/>
        <v>98</v>
      </c>
      <c r="X128" s="20"/>
      <c r="Y128" s="20"/>
      <c r="Z128" s="20"/>
      <c r="AA128" s="33">
        <f t="shared" si="22"/>
        <v>488</v>
      </c>
      <c r="AB128" s="16" t="s">
        <v>117</v>
      </c>
      <c r="AC128" s="19"/>
    </row>
    <row r="129" spans="1:29" ht="15.6" x14ac:dyDescent="0.3">
      <c r="A129" s="16">
        <v>17</v>
      </c>
      <c r="B129" s="17" t="s">
        <v>375</v>
      </c>
      <c r="C129" s="16">
        <v>24</v>
      </c>
      <c r="D129" s="16">
        <v>26</v>
      </c>
      <c r="E129" s="33">
        <f t="shared" si="18"/>
        <v>50</v>
      </c>
      <c r="F129" s="16">
        <v>23</v>
      </c>
      <c r="G129" s="16">
        <v>28</v>
      </c>
      <c r="H129" s="33">
        <f t="shared" si="19"/>
        <v>51</v>
      </c>
      <c r="I129" s="16">
        <v>24</v>
      </c>
      <c r="J129" s="16">
        <v>30</v>
      </c>
      <c r="K129" s="33">
        <f t="shared" si="20"/>
        <v>54</v>
      </c>
      <c r="L129" s="16"/>
      <c r="M129" s="16"/>
      <c r="N129" s="33"/>
      <c r="O129" s="16">
        <v>37</v>
      </c>
      <c r="P129" s="16">
        <v>31</v>
      </c>
      <c r="Q129" s="33">
        <f t="shared" si="21"/>
        <v>68</v>
      </c>
      <c r="R129" s="16"/>
      <c r="S129" s="16"/>
      <c r="T129" s="33"/>
      <c r="U129" s="16">
        <v>27</v>
      </c>
      <c r="V129" s="16">
        <v>32</v>
      </c>
      <c r="W129" s="33">
        <f t="shared" si="23"/>
        <v>59</v>
      </c>
      <c r="X129" s="20"/>
      <c r="Y129" s="20"/>
      <c r="Z129" s="20"/>
      <c r="AA129" s="33">
        <f t="shared" si="22"/>
        <v>282</v>
      </c>
      <c r="AB129" s="16" t="s">
        <v>117</v>
      </c>
      <c r="AC129" s="19"/>
    </row>
    <row r="130" spans="1:29" ht="15.6" x14ac:dyDescent="0.3">
      <c r="A130" s="16">
        <v>18</v>
      </c>
      <c r="B130" s="17" t="s">
        <v>433</v>
      </c>
      <c r="C130" s="16">
        <v>26</v>
      </c>
      <c r="D130" s="16">
        <v>24</v>
      </c>
      <c r="E130" s="33">
        <f t="shared" si="18"/>
        <v>50</v>
      </c>
      <c r="F130" s="16">
        <v>28</v>
      </c>
      <c r="G130" s="16">
        <v>27</v>
      </c>
      <c r="H130" s="33">
        <f t="shared" si="19"/>
        <v>55</v>
      </c>
      <c r="I130" s="16">
        <v>45</v>
      </c>
      <c r="J130" s="16">
        <v>28</v>
      </c>
      <c r="K130" s="33">
        <f t="shared" si="20"/>
        <v>73</v>
      </c>
      <c r="L130" s="16"/>
      <c r="M130" s="16"/>
      <c r="N130" s="33"/>
      <c r="O130" s="16">
        <v>28</v>
      </c>
      <c r="P130" s="16">
        <v>29</v>
      </c>
      <c r="Q130" s="33">
        <f t="shared" si="21"/>
        <v>57</v>
      </c>
      <c r="R130" s="16"/>
      <c r="S130" s="16"/>
      <c r="T130" s="33"/>
      <c r="U130" s="16">
        <v>30</v>
      </c>
      <c r="V130" s="16">
        <v>30</v>
      </c>
      <c r="W130" s="33">
        <f t="shared" si="23"/>
        <v>60</v>
      </c>
      <c r="X130" s="20"/>
      <c r="Y130" s="20"/>
      <c r="Z130" s="20"/>
      <c r="AA130" s="33">
        <f t="shared" si="22"/>
        <v>295</v>
      </c>
      <c r="AB130" s="16" t="s">
        <v>117</v>
      </c>
      <c r="AC130" s="19"/>
    </row>
    <row r="131" spans="1:29" ht="15.6" x14ac:dyDescent="0.3">
      <c r="A131" s="16">
        <v>19</v>
      </c>
      <c r="B131" s="17" t="s">
        <v>15</v>
      </c>
      <c r="C131" s="16">
        <v>24</v>
      </c>
      <c r="D131" s="16">
        <v>26</v>
      </c>
      <c r="E131" s="33">
        <f t="shared" si="18"/>
        <v>50</v>
      </c>
      <c r="F131" s="16">
        <v>25</v>
      </c>
      <c r="G131" s="16">
        <v>27</v>
      </c>
      <c r="H131" s="33">
        <f t="shared" si="19"/>
        <v>52</v>
      </c>
      <c r="I131" s="16">
        <v>26</v>
      </c>
      <c r="J131" s="16">
        <v>29</v>
      </c>
      <c r="K131" s="33">
        <f t="shared" si="20"/>
        <v>55</v>
      </c>
      <c r="L131" s="16"/>
      <c r="M131" s="16"/>
      <c r="N131" s="33"/>
      <c r="O131" s="16">
        <v>26</v>
      </c>
      <c r="P131" s="16">
        <v>30</v>
      </c>
      <c r="Q131" s="33">
        <f t="shared" si="21"/>
        <v>56</v>
      </c>
      <c r="R131" s="16"/>
      <c r="S131" s="16"/>
      <c r="T131" s="33"/>
      <c r="U131" s="16">
        <v>25</v>
      </c>
      <c r="V131" s="16">
        <v>28</v>
      </c>
      <c r="W131" s="33">
        <f t="shared" si="23"/>
        <v>53</v>
      </c>
      <c r="X131" s="20"/>
      <c r="Y131" s="20"/>
      <c r="Z131" s="20"/>
      <c r="AA131" s="33">
        <f t="shared" si="22"/>
        <v>266</v>
      </c>
      <c r="AB131" s="16" t="s">
        <v>117</v>
      </c>
      <c r="AC131" s="19"/>
    </row>
    <row r="132" spans="1:29" ht="15.6" x14ac:dyDescent="0.3">
      <c r="A132" s="16">
        <v>20</v>
      </c>
      <c r="B132" s="17" t="s">
        <v>376</v>
      </c>
      <c r="C132" s="16">
        <v>23</v>
      </c>
      <c r="D132" s="16">
        <v>27</v>
      </c>
      <c r="E132" s="33">
        <f t="shared" si="18"/>
        <v>50</v>
      </c>
      <c r="F132" s="16">
        <v>23</v>
      </c>
      <c r="G132" s="16">
        <v>28</v>
      </c>
      <c r="H132" s="33">
        <f t="shared" si="19"/>
        <v>51</v>
      </c>
      <c r="I132" s="16">
        <v>24</v>
      </c>
      <c r="J132" s="16">
        <v>33</v>
      </c>
      <c r="K132" s="33">
        <f t="shared" si="20"/>
        <v>57</v>
      </c>
      <c r="L132" s="16"/>
      <c r="M132" s="16"/>
      <c r="N132" s="33"/>
      <c r="O132" s="16">
        <v>27</v>
      </c>
      <c r="P132" s="16">
        <v>33</v>
      </c>
      <c r="Q132" s="33">
        <f t="shared" si="21"/>
        <v>60</v>
      </c>
      <c r="R132" s="16"/>
      <c r="S132" s="16"/>
      <c r="T132" s="33"/>
      <c r="U132" s="16">
        <v>23</v>
      </c>
      <c r="V132" s="16">
        <v>27</v>
      </c>
      <c r="W132" s="33">
        <f t="shared" si="23"/>
        <v>50</v>
      </c>
      <c r="X132" s="20"/>
      <c r="Y132" s="20"/>
      <c r="Z132" s="20"/>
      <c r="AA132" s="33">
        <f t="shared" si="22"/>
        <v>268</v>
      </c>
      <c r="AB132" s="16" t="s">
        <v>117</v>
      </c>
      <c r="AC132" s="19"/>
    </row>
    <row r="133" spans="1:29" x14ac:dyDescent="0.25">
      <c r="A133" s="3" t="s">
        <v>115</v>
      </c>
      <c r="B133" s="3"/>
      <c r="C133" s="3"/>
      <c r="D133" s="3"/>
      <c r="E133" s="3"/>
      <c r="F133" s="3"/>
      <c r="G133" s="3" t="s">
        <v>468</v>
      </c>
      <c r="H133" s="3"/>
      <c r="I133" s="3"/>
      <c r="J133" s="3"/>
      <c r="K133" s="3"/>
      <c r="L133" s="3"/>
      <c r="M133" s="3"/>
      <c r="N133" s="3"/>
      <c r="O133" s="3" t="s">
        <v>82</v>
      </c>
      <c r="P133" s="3"/>
      <c r="Q133" s="3"/>
      <c r="R133" s="3"/>
      <c r="S133" s="3"/>
      <c r="T133" s="3"/>
      <c r="U133" s="3" t="s">
        <v>83</v>
      </c>
      <c r="V133" s="3"/>
      <c r="W133" s="3"/>
      <c r="X133" s="3"/>
      <c r="Y133" s="3"/>
      <c r="Z133" s="3"/>
      <c r="AA133" s="3"/>
      <c r="AB133" s="3" t="s">
        <v>84</v>
      </c>
      <c r="AC133" s="3"/>
    </row>
    <row r="134" spans="1:29" x14ac:dyDescent="0.25">
      <c r="A134" s="3" t="s">
        <v>89</v>
      </c>
      <c r="B134" s="3"/>
      <c r="C134" s="3"/>
      <c r="D134" s="3"/>
      <c r="E134" s="3"/>
      <c r="F134" s="3" t="s">
        <v>90</v>
      </c>
      <c r="G134" s="3"/>
      <c r="H134" s="3"/>
      <c r="I134" s="3"/>
      <c r="J134" s="3"/>
      <c r="K134" s="3"/>
      <c r="L134" s="3"/>
      <c r="M134" s="3"/>
      <c r="N134" s="3" t="s">
        <v>462</v>
      </c>
      <c r="O134" s="3"/>
      <c r="P134" s="3"/>
      <c r="Q134" s="3"/>
      <c r="R134" s="3"/>
      <c r="S134" s="3"/>
      <c r="T134" s="3" t="s">
        <v>463</v>
      </c>
      <c r="U134" s="3"/>
      <c r="V134" s="3"/>
      <c r="W134" s="3"/>
      <c r="X134" s="3"/>
      <c r="Y134" s="3"/>
      <c r="Z134" s="3"/>
      <c r="AA134" s="3"/>
      <c r="AB134" s="3" t="s">
        <v>85</v>
      </c>
      <c r="AC134" s="3"/>
    </row>
    <row r="135" spans="1:29" x14ac:dyDescent="0.25">
      <c r="A135" s="3" t="s">
        <v>466</v>
      </c>
      <c r="B135" s="3"/>
      <c r="C135" s="3"/>
      <c r="D135" s="3"/>
      <c r="E135" s="3"/>
      <c r="F135" s="3" t="s">
        <v>91</v>
      </c>
      <c r="G135" s="3"/>
      <c r="H135" s="3"/>
      <c r="I135" s="3"/>
      <c r="J135" s="3"/>
      <c r="K135" s="3"/>
      <c r="L135" s="3"/>
      <c r="M135" s="3"/>
      <c r="N135" s="3" t="s">
        <v>94</v>
      </c>
      <c r="O135" s="3"/>
      <c r="P135" s="3"/>
      <c r="Q135" s="3"/>
      <c r="R135" s="3"/>
      <c r="S135" s="3"/>
      <c r="T135" s="3" t="s">
        <v>97</v>
      </c>
      <c r="U135" s="3"/>
      <c r="V135" s="3"/>
      <c r="W135" s="3"/>
      <c r="X135" s="3"/>
      <c r="Y135" s="3"/>
      <c r="Z135" s="3"/>
      <c r="AA135" s="3"/>
      <c r="AB135" s="3" t="s">
        <v>99</v>
      </c>
      <c r="AC135" s="3"/>
    </row>
    <row r="136" spans="1:29" x14ac:dyDescent="0.25">
      <c r="A136" s="3" t="s">
        <v>89</v>
      </c>
      <c r="B136" s="3"/>
      <c r="C136" s="3"/>
      <c r="D136" s="3"/>
      <c r="E136" s="3"/>
      <c r="F136" s="3" t="s">
        <v>92</v>
      </c>
      <c r="G136" s="3"/>
      <c r="H136" s="3"/>
      <c r="I136" s="3"/>
      <c r="J136" s="3"/>
      <c r="K136" s="3"/>
      <c r="L136" s="3"/>
      <c r="M136" s="3"/>
      <c r="N136" s="3" t="s">
        <v>95</v>
      </c>
      <c r="O136" s="3"/>
      <c r="P136" s="3"/>
      <c r="Q136" s="3"/>
      <c r="R136" s="3"/>
      <c r="S136" s="3"/>
      <c r="T136" s="3" t="s">
        <v>98</v>
      </c>
      <c r="U136" s="3"/>
      <c r="V136" s="3"/>
      <c r="W136" s="3"/>
      <c r="X136" s="3"/>
      <c r="Y136" s="3"/>
      <c r="Z136" s="3"/>
      <c r="AA136" s="3"/>
      <c r="AB136" s="3"/>
      <c r="AC136" s="3"/>
    </row>
    <row r="139" spans="1:29" ht="15.6" x14ac:dyDescent="0.3">
      <c r="B139" s="15" t="s">
        <v>494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 t="s">
        <v>467</v>
      </c>
      <c r="N139" s="6"/>
      <c r="O139" s="6"/>
      <c r="P139" s="6"/>
      <c r="Q139" s="6"/>
      <c r="R139" s="6"/>
      <c r="S139" s="6"/>
      <c r="T139" s="6"/>
      <c r="U139" s="6"/>
      <c r="V139" s="6"/>
      <c r="W139" s="5" t="s">
        <v>456</v>
      </c>
      <c r="X139" s="6"/>
      <c r="Y139" s="6"/>
      <c r="Z139" s="6"/>
      <c r="AA139" s="5"/>
      <c r="AB139" s="5"/>
      <c r="AC139" s="1"/>
    </row>
    <row r="140" spans="1:29" ht="15.6" x14ac:dyDescent="0.3">
      <c r="B140" s="15" t="s">
        <v>81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5" t="s">
        <v>100</v>
      </c>
      <c r="X140" s="5"/>
      <c r="Y140" s="6"/>
      <c r="Z140" s="6"/>
      <c r="AA140" s="5"/>
      <c r="AB140" s="5"/>
      <c r="AC140" s="3"/>
    </row>
    <row r="141" spans="1:29" ht="15.6" x14ac:dyDescent="0.3">
      <c r="B141" s="15" t="s">
        <v>459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5" t="s">
        <v>88</v>
      </c>
      <c r="X141" s="5"/>
      <c r="Y141" s="6"/>
      <c r="Z141" s="6"/>
      <c r="AA141" s="5"/>
      <c r="AB141" s="5"/>
      <c r="AC141" s="3"/>
    </row>
    <row r="142" spans="1:29" ht="15.6" x14ac:dyDescent="0.3">
      <c r="B142" s="15" t="s">
        <v>460</v>
      </c>
      <c r="C142" s="6"/>
      <c r="D142" s="6"/>
      <c r="E142" s="6"/>
      <c r="F142" s="6"/>
      <c r="G142" s="6"/>
      <c r="H142" s="6"/>
      <c r="I142" s="6"/>
      <c r="J142" s="6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5" t="s">
        <v>377</v>
      </c>
      <c r="X142" s="5"/>
      <c r="Y142" s="6"/>
      <c r="Z142" s="6"/>
      <c r="AA142" s="5"/>
      <c r="AB142" s="5"/>
      <c r="AC142" s="3"/>
    </row>
    <row r="143" spans="1:29" ht="15.6" x14ac:dyDescent="0.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5" t="s">
        <v>378</v>
      </c>
      <c r="X143" s="5"/>
      <c r="Y143" s="6"/>
      <c r="Z143" s="6"/>
      <c r="AA143" s="5"/>
      <c r="AB143" s="5"/>
      <c r="AC143" s="3"/>
    </row>
    <row r="144" spans="1:29" ht="15.6" x14ac:dyDescent="0.3">
      <c r="B144" s="6"/>
      <c r="C144" s="5" t="s">
        <v>482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5"/>
      <c r="X144" s="5"/>
      <c r="Y144" s="6"/>
      <c r="Z144" s="6"/>
      <c r="AA144" s="5"/>
      <c r="AB144" s="5"/>
      <c r="AC144" s="5"/>
    </row>
    <row r="145" spans="1:29" ht="15.6" x14ac:dyDescent="0.3">
      <c r="A145" s="63" t="s">
        <v>0</v>
      </c>
      <c r="B145" s="38" t="s">
        <v>469</v>
      </c>
      <c r="C145" s="60" t="s">
        <v>457</v>
      </c>
      <c r="D145" s="61"/>
      <c r="E145" s="62"/>
      <c r="F145" s="60" t="s">
        <v>1</v>
      </c>
      <c r="G145" s="61"/>
      <c r="H145" s="62"/>
      <c r="I145" s="60" t="s">
        <v>2</v>
      </c>
      <c r="J145" s="61"/>
      <c r="K145" s="62"/>
      <c r="L145" s="60" t="s">
        <v>8</v>
      </c>
      <c r="M145" s="61"/>
      <c r="N145" s="62"/>
      <c r="O145" s="60" t="s">
        <v>3</v>
      </c>
      <c r="P145" s="61"/>
      <c r="Q145" s="62"/>
      <c r="R145" s="31"/>
      <c r="S145" s="31" t="s">
        <v>4</v>
      </c>
      <c r="T145" s="31"/>
      <c r="U145" s="60" t="s">
        <v>5</v>
      </c>
      <c r="V145" s="61"/>
      <c r="W145" s="62"/>
      <c r="X145" s="57" t="s">
        <v>16</v>
      </c>
      <c r="Y145" s="57" t="s">
        <v>17</v>
      </c>
      <c r="Z145" s="57" t="s">
        <v>18</v>
      </c>
      <c r="AA145" s="57" t="s">
        <v>19</v>
      </c>
      <c r="AB145" s="57" t="s">
        <v>20</v>
      </c>
      <c r="AC145" s="57" t="s">
        <v>21</v>
      </c>
    </row>
    <row r="146" spans="1:29" ht="55.2" x14ac:dyDescent="0.25">
      <c r="A146" s="64"/>
      <c r="B146" s="35" t="s">
        <v>470</v>
      </c>
      <c r="C146" s="32" t="s">
        <v>6</v>
      </c>
      <c r="D146" s="32" t="s">
        <v>461</v>
      </c>
      <c r="E146" s="32" t="s">
        <v>7</v>
      </c>
      <c r="F146" s="32" t="s">
        <v>6</v>
      </c>
      <c r="G146" s="32" t="s">
        <v>461</v>
      </c>
      <c r="H146" s="32" t="s">
        <v>7</v>
      </c>
      <c r="I146" s="32" t="s">
        <v>6</v>
      </c>
      <c r="J146" s="32" t="s">
        <v>461</v>
      </c>
      <c r="K146" s="32" t="s">
        <v>7</v>
      </c>
      <c r="L146" s="32" t="s">
        <v>6</v>
      </c>
      <c r="M146" s="32" t="s">
        <v>461</v>
      </c>
      <c r="N146" s="32" t="s">
        <v>7</v>
      </c>
      <c r="O146" s="32" t="s">
        <v>6</v>
      </c>
      <c r="P146" s="32" t="s">
        <v>461</v>
      </c>
      <c r="Q146" s="32" t="s">
        <v>7</v>
      </c>
      <c r="R146" s="32" t="s">
        <v>6</v>
      </c>
      <c r="S146" s="32" t="s">
        <v>461</v>
      </c>
      <c r="T146" s="32" t="s">
        <v>7</v>
      </c>
      <c r="U146" s="32" t="s">
        <v>6</v>
      </c>
      <c r="V146" s="32" t="s">
        <v>461</v>
      </c>
      <c r="W146" s="32" t="s">
        <v>7</v>
      </c>
      <c r="X146" s="58"/>
      <c r="Y146" s="58"/>
      <c r="Z146" s="58"/>
      <c r="AA146" s="58"/>
      <c r="AB146" s="58"/>
      <c r="AC146" s="58"/>
    </row>
    <row r="147" spans="1:29" ht="15.6" x14ac:dyDescent="0.3">
      <c r="A147" s="65"/>
      <c r="B147" s="36"/>
      <c r="C147" s="33">
        <v>50</v>
      </c>
      <c r="D147" s="33">
        <v>50</v>
      </c>
      <c r="E147" s="33">
        <v>100</v>
      </c>
      <c r="F147" s="33">
        <v>50</v>
      </c>
      <c r="G147" s="33">
        <v>50</v>
      </c>
      <c r="H147" s="33">
        <v>100</v>
      </c>
      <c r="I147" s="33">
        <v>50</v>
      </c>
      <c r="J147" s="33">
        <v>50</v>
      </c>
      <c r="K147" s="33">
        <v>100</v>
      </c>
      <c r="L147" s="33">
        <v>50</v>
      </c>
      <c r="M147" s="33">
        <v>50</v>
      </c>
      <c r="N147" s="33">
        <v>100</v>
      </c>
      <c r="O147" s="33">
        <v>50</v>
      </c>
      <c r="P147" s="33">
        <v>50</v>
      </c>
      <c r="Q147" s="33">
        <v>100</v>
      </c>
      <c r="R147" s="33">
        <v>50</v>
      </c>
      <c r="S147" s="33">
        <v>50</v>
      </c>
      <c r="T147" s="33">
        <v>100</v>
      </c>
      <c r="U147" s="33">
        <v>50</v>
      </c>
      <c r="V147" s="33">
        <v>50</v>
      </c>
      <c r="W147" s="33">
        <v>100</v>
      </c>
      <c r="X147" s="59"/>
      <c r="Y147" s="59"/>
      <c r="Z147" s="59"/>
      <c r="AA147" s="59"/>
      <c r="AB147" s="59"/>
      <c r="AC147" s="59"/>
    </row>
    <row r="148" spans="1:29" ht="15.6" x14ac:dyDescent="0.3">
      <c r="A148" s="13">
        <v>21</v>
      </c>
      <c r="B148" s="18" t="s">
        <v>480</v>
      </c>
      <c r="C148" s="16">
        <v>25</v>
      </c>
      <c r="D148" s="16">
        <v>25</v>
      </c>
      <c r="E148" s="33">
        <f t="shared" ref="E148:E167" si="24">SUM(C148:D148)</f>
        <v>50</v>
      </c>
      <c r="F148" s="16">
        <v>25</v>
      </c>
      <c r="G148" s="16">
        <v>28</v>
      </c>
      <c r="H148" s="33">
        <f t="shared" ref="H148:H167" si="25">SUM(F148:G148)</f>
        <v>53</v>
      </c>
      <c r="I148" s="16">
        <v>31</v>
      </c>
      <c r="J148" s="16">
        <v>29</v>
      </c>
      <c r="K148" s="33">
        <f t="shared" ref="K148:K167" si="26">SUM(I148:J148)</f>
        <v>60</v>
      </c>
      <c r="L148" s="16"/>
      <c r="M148" s="16"/>
      <c r="N148" s="33"/>
      <c r="O148" s="16">
        <v>32</v>
      </c>
      <c r="P148" s="16">
        <v>30</v>
      </c>
      <c r="Q148" s="33">
        <f t="shared" ref="Q148:Q167" si="27">SUM(O148:P148)</f>
        <v>62</v>
      </c>
      <c r="R148" s="16"/>
      <c r="S148" s="16"/>
      <c r="T148" s="33"/>
      <c r="U148" s="16">
        <v>25</v>
      </c>
      <c r="V148" s="16">
        <v>27</v>
      </c>
      <c r="W148" s="33">
        <f t="shared" ref="W148:W167" si="28">SUM(U148:V148)</f>
        <v>52</v>
      </c>
      <c r="X148" s="20"/>
      <c r="Y148" s="20"/>
      <c r="Z148" s="20"/>
      <c r="AA148" s="33">
        <f t="shared" ref="AA148:AA167" si="29">SUM(W148,Q148,K148,H148,E148)</f>
        <v>277</v>
      </c>
      <c r="AB148" s="16" t="s">
        <v>117</v>
      </c>
      <c r="AC148" s="14"/>
    </row>
    <row r="149" spans="1:29" ht="15.6" x14ac:dyDescent="0.3">
      <c r="A149" s="13">
        <v>22</v>
      </c>
      <c r="B149" s="18" t="s">
        <v>444</v>
      </c>
      <c r="C149" s="16">
        <v>34</v>
      </c>
      <c r="D149" s="16">
        <v>27</v>
      </c>
      <c r="E149" s="33">
        <f t="shared" si="24"/>
        <v>61</v>
      </c>
      <c r="F149" s="16">
        <v>33</v>
      </c>
      <c r="G149" s="16">
        <v>33</v>
      </c>
      <c r="H149" s="33">
        <f t="shared" si="25"/>
        <v>66</v>
      </c>
      <c r="I149" s="16">
        <v>27</v>
      </c>
      <c r="J149" s="16">
        <v>41</v>
      </c>
      <c r="K149" s="33">
        <f t="shared" si="26"/>
        <v>68</v>
      </c>
      <c r="L149" s="16"/>
      <c r="M149" s="16"/>
      <c r="N149" s="33"/>
      <c r="O149" s="16">
        <v>43</v>
      </c>
      <c r="P149" s="16">
        <v>35</v>
      </c>
      <c r="Q149" s="33">
        <f t="shared" si="27"/>
        <v>78</v>
      </c>
      <c r="R149" s="16"/>
      <c r="S149" s="16"/>
      <c r="T149" s="33"/>
      <c r="U149" s="16">
        <v>27</v>
      </c>
      <c r="V149" s="16">
        <v>33</v>
      </c>
      <c r="W149" s="33">
        <f t="shared" si="28"/>
        <v>60</v>
      </c>
      <c r="X149" s="20"/>
      <c r="Y149" s="20"/>
      <c r="Z149" s="20"/>
      <c r="AA149" s="33">
        <f t="shared" si="29"/>
        <v>333</v>
      </c>
      <c r="AB149" s="16" t="s">
        <v>117</v>
      </c>
      <c r="AC149" s="14"/>
    </row>
    <row r="150" spans="1:29" ht="15.6" x14ac:dyDescent="0.3">
      <c r="A150" s="13">
        <v>23</v>
      </c>
      <c r="B150" s="18" t="s">
        <v>434</v>
      </c>
      <c r="C150" s="16">
        <v>41</v>
      </c>
      <c r="D150" s="16">
        <v>36</v>
      </c>
      <c r="E150" s="33">
        <f t="shared" si="24"/>
        <v>77</v>
      </c>
      <c r="F150" s="16">
        <v>28</v>
      </c>
      <c r="G150" s="16">
        <v>28</v>
      </c>
      <c r="H150" s="33">
        <f t="shared" si="25"/>
        <v>56</v>
      </c>
      <c r="I150" s="16">
        <v>42</v>
      </c>
      <c r="J150" s="16">
        <v>38</v>
      </c>
      <c r="K150" s="33">
        <f t="shared" si="26"/>
        <v>80</v>
      </c>
      <c r="L150" s="16"/>
      <c r="M150" s="16"/>
      <c r="N150" s="33"/>
      <c r="O150" s="16">
        <v>40</v>
      </c>
      <c r="P150" s="16">
        <v>34</v>
      </c>
      <c r="Q150" s="33">
        <f t="shared" si="27"/>
        <v>74</v>
      </c>
      <c r="R150" s="16"/>
      <c r="S150" s="16"/>
      <c r="T150" s="33"/>
      <c r="U150" s="16">
        <v>26</v>
      </c>
      <c r="V150" s="16">
        <v>29</v>
      </c>
      <c r="W150" s="33">
        <f t="shared" si="28"/>
        <v>55</v>
      </c>
      <c r="X150" s="20"/>
      <c r="Y150" s="20"/>
      <c r="Z150" s="20"/>
      <c r="AA150" s="33">
        <f t="shared" si="29"/>
        <v>342</v>
      </c>
      <c r="AB150" s="16" t="s">
        <v>117</v>
      </c>
      <c r="AC150" s="14"/>
    </row>
    <row r="151" spans="1:29" ht="15.6" x14ac:dyDescent="0.3">
      <c r="A151" s="13">
        <v>24</v>
      </c>
      <c r="B151" s="18" t="s">
        <v>500</v>
      </c>
      <c r="C151" s="16">
        <v>21</v>
      </c>
      <c r="D151" s="16">
        <v>29</v>
      </c>
      <c r="E151" s="33">
        <f t="shared" si="24"/>
        <v>50</v>
      </c>
      <c r="F151" s="16">
        <v>21</v>
      </c>
      <c r="G151" s="16">
        <v>29</v>
      </c>
      <c r="H151" s="33">
        <f t="shared" si="25"/>
        <v>50</v>
      </c>
      <c r="I151" s="16">
        <v>35</v>
      </c>
      <c r="J151" s="16">
        <v>29</v>
      </c>
      <c r="K151" s="33">
        <f t="shared" si="26"/>
        <v>64</v>
      </c>
      <c r="L151" s="16"/>
      <c r="M151" s="16"/>
      <c r="N151" s="33"/>
      <c r="O151" s="16">
        <v>41</v>
      </c>
      <c r="P151" s="16">
        <v>31</v>
      </c>
      <c r="Q151" s="33">
        <f t="shared" si="27"/>
        <v>72</v>
      </c>
      <c r="R151" s="16"/>
      <c r="S151" s="16"/>
      <c r="T151" s="33"/>
      <c r="U151" s="16">
        <v>21</v>
      </c>
      <c r="V151" s="16">
        <v>29</v>
      </c>
      <c r="W151" s="33">
        <f t="shared" si="28"/>
        <v>50</v>
      </c>
      <c r="X151" s="20"/>
      <c r="Y151" s="20"/>
      <c r="Z151" s="20"/>
      <c r="AA151" s="33">
        <f t="shared" si="29"/>
        <v>286</v>
      </c>
      <c r="AB151" s="16" t="s">
        <v>117</v>
      </c>
      <c r="AC151" s="14"/>
    </row>
    <row r="152" spans="1:29" ht="15.6" x14ac:dyDescent="0.3">
      <c r="A152" s="13">
        <v>25</v>
      </c>
      <c r="B152" s="18" t="s">
        <v>501</v>
      </c>
      <c r="C152" s="16">
        <v>43</v>
      </c>
      <c r="D152" s="16">
        <v>36</v>
      </c>
      <c r="E152" s="33">
        <f t="shared" si="24"/>
        <v>79</v>
      </c>
      <c r="F152" s="16">
        <v>34</v>
      </c>
      <c r="G152" s="16">
        <v>48</v>
      </c>
      <c r="H152" s="33">
        <f t="shared" si="25"/>
        <v>82</v>
      </c>
      <c r="I152" s="16">
        <v>41</v>
      </c>
      <c r="J152" s="16">
        <v>34</v>
      </c>
      <c r="K152" s="33">
        <f t="shared" si="26"/>
        <v>75</v>
      </c>
      <c r="L152" s="16"/>
      <c r="M152" s="16"/>
      <c r="N152" s="33"/>
      <c r="O152" s="16">
        <v>46</v>
      </c>
      <c r="P152" s="16">
        <v>38</v>
      </c>
      <c r="Q152" s="33">
        <f t="shared" si="27"/>
        <v>84</v>
      </c>
      <c r="R152" s="16"/>
      <c r="S152" s="16"/>
      <c r="T152" s="33"/>
      <c r="U152" s="16">
        <v>35</v>
      </c>
      <c r="V152" s="16">
        <v>32</v>
      </c>
      <c r="W152" s="33">
        <f t="shared" si="28"/>
        <v>67</v>
      </c>
      <c r="X152" s="20"/>
      <c r="Y152" s="20"/>
      <c r="Z152" s="20"/>
      <c r="AA152" s="33">
        <f t="shared" si="29"/>
        <v>387</v>
      </c>
      <c r="AB152" s="16" t="s">
        <v>117</v>
      </c>
      <c r="AC152" s="14"/>
    </row>
    <row r="153" spans="1:29" ht="15.6" x14ac:dyDescent="0.3">
      <c r="A153" s="13">
        <v>26</v>
      </c>
      <c r="B153" s="18" t="s">
        <v>22</v>
      </c>
      <c r="C153" s="16">
        <v>33</v>
      </c>
      <c r="D153" s="16">
        <v>37</v>
      </c>
      <c r="E153" s="33">
        <f t="shared" si="24"/>
        <v>70</v>
      </c>
      <c r="F153" s="16">
        <v>27</v>
      </c>
      <c r="G153" s="16">
        <v>27</v>
      </c>
      <c r="H153" s="33">
        <f t="shared" si="25"/>
        <v>54</v>
      </c>
      <c r="I153" s="16">
        <v>29</v>
      </c>
      <c r="J153" s="16">
        <v>27</v>
      </c>
      <c r="K153" s="33">
        <f t="shared" si="26"/>
        <v>56</v>
      </c>
      <c r="L153" s="16"/>
      <c r="M153" s="16"/>
      <c r="N153" s="33"/>
      <c r="O153" s="16">
        <v>37</v>
      </c>
      <c r="P153" s="16">
        <v>29</v>
      </c>
      <c r="Q153" s="33">
        <f t="shared" si="27"/>
        <v>66</v>
      </c>
      <c r="R153" s="16"/>
      <c r="S153" s="16"/>
      <c r="T153" s="33"/>
      <c r="U153" s="16">
        <v>26</v>
      </c>
      <c r="V153" s="16">
        <v>27</v>
      </c>
      <c r="W153" s="33">
        <f t="shared" si="28"/>
        <v>53</v>
      </c>
      <c r="X153" s="20"/>
      <c r="Y153" s="20"/>
      <c r="Z153" s="20"/>
      <c r="AA153" s="33">
        <f t="shared" si="29"/>
        <v>299</v>
      </c>
      <c r="AB153" s="16" t="s">
        <v>117</v>
      </c>
      <c r="AC153" s="14"/>
    </row>
    <row r="154" spans="1:29" ht="15.6" x14ac:dyDescent="0.3">
      <c r="A154" s="13">
        <v>27</v>
      </c>
      <c r="B154" s="18" t="s">
        <v>30</v>
      </c>
      <c r="C154" s="16">
        <v>34</v>
      </c>
      <c r="D154" s="16">
        <v>26</v>
      </c>
      <c r="E154" s="33">
        <f t="shared" si="24"/>
        <v>60</v>
      </c>
      <c r="F154" s="16">
        <v>31</v>
      </c>
      <c r="G154" s="16">
        <v>27</v>
      </c>
      <c r="H154" s="33">
        <f t="shared" si="25"/>
        <v>58</v>
      </c>
      <c r="I154" s="16">
        <v>42</v>
      </c>
      <c r="J154" s="16">
        <v>29</v>
      </c>
      <c r="K154" s="33">
        <f t="shared" si="26"/>
        <v>71</v>
      </c>
      <c r="L154" s="16"/>
      <c r="M154" s="16"/>
      <c r="N154" s="33"/>
      <c r="O154" s="16">
        <v>36</v>
      </c>
      <c r="P154" s="16">
        <v>29</v>
      </c>
      <c r="Q154" s="33">
        <f t="shared" si="27"/>
        <v>65</v>
      </c>
      <c r="R154" s="16"/>
      <c r="S154" s="16"/>
      <c r="T154" s="33"/>
      <c r="U154" s="16">
        <v>34</v>
      </c>
      <c r="V154" s="16">
        <v>27</v>
      </c>
      <c r="W154" s="33">
        <f t="shared" si="28"/>
        <v>61</v>
      </c>
      <c r="X154" s="20"/>
      <c r="Y154" s="20"/>
      <c r="Z154" s="20"/>
      <c r="AA154" s="33">
        <f t="shared" si="29"/>
        <v>315</v>
      </c>
      <c r="AB154" s="16" t="s">
        <v>117</v>
      </c>
      <c r="AC154" s="14"/>
    </row>
    <row r="155" spans="1:29" ht="15.6" x14ac:dyDescent="0.3">
      <c r="A155" s="13">
        <v>28</v>
      </c>
      <c r="B155" s="18" t="s">
        <v>23</v>
      </c>
      <c r="C155" s="16">
        <v>35</v>
      </c>
      <c r="D155" s="16">
        <v>28</v>
      </c>
      <c r="E155" s="33">
        <f t="shared" si="24"/>
        <v>63</v>
      </c>
      <c r="F155" s="16">
        <v>32</v>
      </c>
      <c r="G155" s="16">
        <v>27</v>
      </c>
      <c r="H155" s="33">
        <f t="shared" si="25"/>
        <v>59</v>
      </c>
      <c r="I155" s="16">
        <v>39</v>
      </c>
      <c r="J155" s="16">
        <v>31</v>
      </c>
      <c r="K155" s="33">
        <f t="shared" si="26"/>
        <v>70</v>
      </c>
      <c r="L155" s="16"/>
      <c r="M155" s="16"/>
      <c r="N155" s="33"/>
      <c r="O155" s="16">
        <v>32</v>
      </c>
      <c r="P155" s="16">
        <v>32</v>
      </c>
      <c r="Q155" s="33">
        <f t="shared" si="27"/>
        <v>64</v>
      </c>
      <c r="R155" s="16"/>
      <c r="S155" s="16"/>
      <c r="T155" s="33"/>
      <c r="U155" s="16">
        <v>28</v>
      </c>
      <c r="V155" s="16">
        <v>28</v>
      </c>
      <c r="W155" s="33">
        <f t="shared" si="28"/>
        <v>56</v>
      </c>
      <c r="X155" s="20"/>
      <c r="Y155" s="20"/>
      <c r="Z155" s="20"/>
      <c r="AA155" s="33">
        <f t="shared" si="29"/>
        <v>312</v>
      </c>
      <c r="AB155" s="16" t="s">
        <v>117</v>
      </c>
      <c r="AC155" s="14"/>
    </row>
    <row r="156" spans="1:29" ht="15.6" x14ac:dyDescent="0.3">
      <c r="A156" s="13">
        <v>29</v>
      </c>
      <c r="B156" s="18" t="s">
        <v>477</v>
      </c>
      <c r="C156" s="16">
        <v>23</v>
      </c>
      <c r="D156" s="16">
        <v>27</v>
      </c>
      <c r="E156" s="33">
        <f t="shared" si="24"/>
        <v>50</v>
      </c>
      <c r="F156" s="16">
        <v>27</v>
      </c>
      <c r="G156" s="16">
        <v>28</v>
      </c>
      <c r="H156" s="33">
        <f t="shared" si="25"/>
        <v>55</v>
      </c>
      <c r="I156" s="16">
        <v>32</v>
      </c>
      <c r="J156" s="16">
        <v>29</v>
      </c>
      <c r="K156" s="33">
        <f t="shared" si="26"/>
        <v>61</v>
      </c>
      <c r="L156" s="16"/>
      <c r="M156" s="16"/>
      <c r="N156" s="33"/>
      <c r="O156" s="16">
        <v>24</v>
      </c>
      <c r="P156" s="16">
        <v>28</v>
      </c>
      <c r="Q156" s="33">
        <f t="shared" si="27"/>
        <v>52</v>
      </c>
      <c r="R156" s="16"/>
      <c r="S156" s="16"/>
      <c r="T156" s="33"/>
      <c r="U156" s="16">
        <v>22</v>
      </c>
      <c r="V156" s="16">
        <v>28</v>
      </c>
      <c r="W156" s="33">
        <f t="shared" si="28"/>
        <v>50</v>
      </c>
      <c r="X156" s="20"/>
      <c r="Y156" s="20"/>
      <c r="Z156" s="20"/>
      <c r="AA156" s="33">
        <f t="shared" si="29"/>
        <v>268</v>
      </c>
      <c r="AB156" s="16" t="s">
        <v>117</v>
      </c>
      <c r="AC156" s="14"/>
    </row>
    <row r="157" spans="1:29" ht="15.6" x14ac:dyDescent="0.3">
      <c r="A157" s="13">
        <v>30</v>
      </c>
      <c r="B157" s="18" t="s">
        <v>478</v>
      </c>
      <c r="C157" s="16">
        <v>25</v>
      </c>
      <c r="D157" s="16">
        <v>25</v>
      </c>
      <c r="E157" s="33">
        <f t="shared" si="24"/>
        <v>50</v>
      </c>
      <c r="F157" s="16">
        <v>25</v>
      </c>
      <c r="G157" s="16">
        <v>25</v>
      </c>
      <c r="H157" s="33">
        <f t="shared" si="25"/>
        <v>50</v>
      </c>
      <c r="I157" s="16">
        <v>21</v>
      </c>
      <c r="J157" s="16">
        <v>29</v>
      </c>
      <c r="K157" s="33">
        <f t="shared" si="26"/>
        <v>50</v>
      </c>
      <c r="L157" s="16"/>
      <c r="M157" s="16"/>
      <c r="N157" s="33"/>
      <c r="O157" s="16">
        <v>25</v>
      </c>
      <c r="P157" s="16">
        <v>28</v>
      </c>
      <c r="Q157" s="33">
        <f t="shared" si="27"/>
        <v>53</v>
      </c>
      <c r="R157" s="16"/>
      <c r="S157" s="16"/>
      <c r="T157" s="33"/>
      <c r="U157" s="16">
        <v>26</v>
      </c>
      <c r="V157" s="16">
        <v>28</v>
      </c>
      <c r="W157" s="33">
        <f t="shared" si="28"/>
        <v>54</v>
      </c>
      <c r="X157" s="20"/>
      <c r="Y157" s="20"/>
      <c r="Z157" s="20"/>
      <c r="AA157" s="33">
        <f t="shared" si="29"/>
        <v>257</v>
      </c>
      <c r="AB157" s="16" t="s">
        <v>117</v>
      </c>
      <c r="AC157" s="14"/>
    </row>
    <row r="158" spans="1:29" ht="15.6" x14ac:dyDescent="0.3">
      <c r="A158" s="13">
        <v>31</v>
      </c>
      <c r="B158" s="18" t="s">
        <v>24</v>
      </c>
      <c r="C158" s="16">
        <v>50</v>
      </c>
      <c r="D158" s="16">
        <v>50</v>
      </c>
      <c r="E158" s="33">
        <f t="shared" si="24"/>
        <v>100</v>
      </c>
      <c r="F158" s="16">
        <v>50</v>
      </c>
      <c r="G158" s="16">
        <v>50</v>
      </c>
      <c r="H158" s="33">
        <f t="shared" si="25"/>
        <v>100</v>
      </c>
      <c r="I158" s="16">
        <v>50</v>
      </c>
      <c r="J158" s="16">
        <v>46</v>
      </c>
      <c r="K158" s="33">
        <f t="shared" si="26"/>
        <v>96</v>
      </c>
      <c r="L158" s="16"/>
      <c r="M158" s="16"/>
      <c r="N158" s="33"/>
      <c r="O158" s="16">
        <v>49</v>
      </c>
      <c r="P158" s="16">
        <v>50</v>
      </c>
      <c r="Q158" s="33">
        <f t="shared" si="27"/>
        <v>99</v>
      </c>
      <c r="R158" s="16"/>
      <c r="S158" s="16"/>
      <c r="T158" s="33"/>
      <c r="U158" s="16">
        <v>50</v>
      </c>
      <c r="V158" s="16">
        <v>50</v>
      </c>
      <c r="W158" s="33">
        <f t="shared" si="28"/>
        <v>100</v>
      </c>
      <c r="X158" s="20"/>
      <c r="Y158" s="20"/>
      <c r="Z158" s="20"/>
      <c r="AA158" s="33">
        <f t="shared" si="29"/>
        <v>495</v>
      </c>
      <c r="AB158" s="16" t="s">
        <v>117</v>
      </c>
      <c r="AC158" s="14"/>
    </row>
    <row r="159" spans="1:29" ht="15.6" x14ac:dyDescent="0.3">
      <c r="A159" s="13">
        <v>32</v>
      </c>
      <c r="B159" s="18" t="s">
        <v>25</v>
      </c>
      <c r="C159" s="16">
        <v>40</v>
      </c>
      <c r="D159" s="16">
        <v>46</v>
      </c>
      <c r="E159" s="33">
        <f t="shared" si="24"/>
        <v>86</v>
      </c>
      <c r="F159" s="16">
        <v>29</v>
      </c>
      <c r="G159" s="16">
        <v>45</v>
      </c>
      <c r="H159" s="33">
        <f t="shared" si="25"/>
        <v>74</v>
      </c>
      <c r="I159" s="16">
        <v>27</v>
      </c>
      <c r="J159" s="16">
        <v>40</v>
      </c>
      <c r="K159" s="33">
        <f t="shared" si="26"/>
        <v>67</v>
      </c>
      <c r="L159" s="16"/>
      <c r="M159" s="16"/>
      <c r="N159" s="33"/>
      <c r="O159" s="16">
        <v>25</v>
      </c>
      <c r="P159" s="16">
        <v>37</v>
      </c>
      <c r="Q159" s="33">
        <f t="shared" si="27"/>
        <v>62</v>
      </c>
      <c r="R159" s="16"/>
      <c r="S159" s="16"/>
      <c r="T159" s="33"/>
      <c r="U159" s="16">
        <v>27</v>
      </c>
      <c r="V159" s="16">
        <v>45</v>
      </c>
      <c r="W159" s="33">
        <f t="shared" si="28"/>
        <v>72</v>
      </c>
      <c r="X159" s="20"/>
      <c r="Y159" s="20"/>
      <c r="Z159" s="20"/>
      <c r="AA159" s="33">
        <f t="shared" si="29"/>
        <v>361</v>
      </c>
      <c r="AB159" s="16" t="s">
        <v>117</v>
      </c>
      <c r="AC159" s="14"/>
    </row>
    <row r="160" spans="1:29" ht="15.6" x14ac:dyDescent="0.3">
      <c r="A160" s="13">
        <v>33</v>
      </c>
      <c r="B160" s="18" t="s">
        <v>435</v>
      </c>
      <c r="C160" s="16">
        <v>49</v>
      </c>
      <c r="D160" s="16">
        <v>44</v>
      </c>
      <c r="E160" s="33">
        <f t="shared" si="24"/>
        <v>93</v>
      </c>
      <c r="F160" s="16">
        <v>36</v>
      </c>
      <c r="G160" s="16">
        <v>45</v>
      </c>
      <c r="H160" s="33">
        <f t="shared" si="25"/>
        <v>81</v>
      </c>
      <c r="I160" s="16">
        <v>40</v>
      </c>
      <c r="J160" s="16">
        <v>38</v>
      </c>
      <c r="K160" s="33">
        <f t="shared" si="26"/>
        <v>78</v>
      </c>
      <c r="L160" s="16"/>
      <c r="M160" s="16"/>
      <c r="N160" s="33"/>
      <c r="O160" s="16">
        <v>41</v>
      </c>
      <c r="P160" s="16">
        <v>38</v>
      </c>
      <c r="Q160" s="33">
        <f t="shared" si="27"/>
        <v>79</v>
      </c>
      <c r="R160" s="16"/>
      <c r="S160" s="16"/>
      <c r="T160" s="33"/>
      <c r="U160" s="16">
        <v>46</v>
      </c>
      <c r="V160" s="16">
        <v>44</v>
      </c>
      <c r="W160" s="33">
        <f t="shared" si="28"/>
        <v>90</v>
      </c>
      <c r="X160" s="20"/>
      <c r="Y160" s="20"/>
      <c r="Z160" s="20"/>
      <c r="AA160" s="33">
        <f t="shared" si="29"/>
        <v>421</v>
      </c>
      <c r="AB160" s="16" t="s">
        <v>117</v>
      </c>
      <c r="AC160" s="14"/>
    </row>
    <row r="161" spans="1:29" ht="15.6" x14ac:dyDescent="0.3">
      <c r="A161" s="13">
        <v>34</v>
      </c>
      <c r="B161" s="18" t="s">
        <v>446</v>
      </c>
      <c r="C161" s="16">
        <v>36</v>
      </c>
      <c r="D161" s="16">
        <v>38</v>
      </c>
      <c r="E161" s="33">
        <f t="shared" si="24"/>
        <v>74</v>
      </c>
      <c r="F161" s="16">
        <v>45</v>
      </c>
      <c r="G161" s="16">
        <v>44</v>
      </c>
      <c r="H161" s="33">
        <f t="shared" si="25"/>
        <v>89</v>
      </c>
      <c r="I161" s="16">
        <v>42</v>
      </c>
      <c r="J161" s="16">
        <v>38</v>
      </c>
      <c r="K161" s="33">
        <f t="shared" si="26"/>
        <v>80</v>
      </c>
      <c r="L161" s="16"/>
      <c r="M161" s="16"/>
      <c r="N161" s="33"/>
      <c r="O161" s="16">
        <v>45</v>
      </c>
      <c r="P161" s="16">
        <v>49</v>
      </c>
      <c r="Q161" s="33">
        <f t="shared" si="27"/>
        <v>94</v>
      </c>
      <c r="R161" s="16"/>
      <c r="S161" s="16"/>
      <c r="T161" s="33"/>
      <c r="U161" s="16">
        <v>37</v>
      </c>
      <c r="V161" s="16">
        <v>41</v>
      </c>
      <c r="W161" s="33">
        <f t="shared" si="28"/>
        <v>78</v>
      </c>
      <c r="X161" s="20"/>
      <c r="Y161" s="20"/>
      <c r="Z161" s="20"/>
      <c r="AA161" s="33">
        <f t="shared" si="29"/>
        <v>415</v>
      </c>
      <c r="AB161" s="16" t="s">
        <v>117</v>
      </c>
      <c r="AC161" s="14"/>
    </row>
    <row r="162" spans="1:29" ht="15.6" x14ac:dyDescent="0.3">
      <c r="A162" s="13">
        <v>35</v>
      </c>
      <c r="B162" s="18" t="s">
        <v>26</v>
      </c>
      <c r="C162" s="16">
        <v>49</v>
      </c>
      <c r="D162" s="16">
        <v>44</v>
      </c>
      <c r="E162" s="33">
        <f t="shared" si="24"/>
        <v>93</v>
      </c>
      <c r="F162" s="16">
        <v>45</v>
      </c>
      <c r="G162" s="16">
        <v>49</v>
      </c>
      <c r="H162" s="33">
        <f t="shared" si="25"/>
        <v>94</v>
      </c>
      <c r="I162" s="16">
        <v>50</v>
      </c>
      <c r="J162" s="16">
        <v>50</v>
      </c>
      <c r="K162" s="33">
        <f t="shared" si="26"/>
        <v>100</v>
      </c>
      <c r="L162" s="16"/>
      <c r="M162" s="16"/>
      <c r="N162" s="33"/>
      <c r="O162" s="16">
        <v>50</v>
      </c>
      <c r="P162" s="16">
        <v>50</v>
      </c>
      <c r="Q162" s="33">
        <f t="shared" si="27"/>
        <v>100</v>
      </c>
      <c r="R162" s="16"/>
      <c r="S162" s="16"/>
      <c r="T162" s="33"/>
      <c r="U162" s="16">
        <v>50</v>
      </c>
      <c r="V162" s="16">
        <v>50</v>
      </c>
      <c r="W162" s="33">
        <f t="shared" si="28"/>
        <v>100</v>
      </c>
      <c r="X162" s="20"/>
      <c r="Y162" s="20"/>
      <c r="Z162" s="20"/>
      <c r="AA162" s="33">
        <f t="shared" si="29"/>
        <v>487</v>
      </c>
      <c r="AB162" s="16" t="s">
        <v>117</v>
      </c>
      <c r="AC162" s="14"/>
    </row>
    <row r="163" spans="1:29" ht="15.6" x14ac:dyDescent="0.3">
      <c r="A163" s="13">
        <v>36</v>
      </c>
      <c r="B163" s="18" t="s">
        <v>445</v>
      </c>
      <c r="C163" s="16">
        <v>40</v>
      </c>
      <c r="D163" s="16">
        <v>47</v>
      </c>
      <c r="E163" s="33">
        <f t="shared" si="24"/>
        <v>87</v>
      </c>
      <c r="F163" s="16">
        <v>34</v>
      </c>
      <c r="G163" s="16">
        <v>44</v>
      </c>
      <c r="H163" s="33">
        <f t="shared" si="25"/>
        <v>78</v>
      </c>
      <c r="I163" s="16">
        <v>34</v>
      </c>
      <c r="J163" s="16">
        <v>39</v>
      </c>
      <c r="K163" s="33">
        <f t="shared" si="26"/>
        <v>73</v>
      </c>
      <c r="L163" s="16"/>
      <c r="M163" s="16"/>
      <c r="N163" s="33"/>
      <c r="O163" s="16">
        <v>42</v>
      </c>
      <c r="P163" s="16">
        <v>42</v>
      </c>
      <c r="Q163" s="33">
        <f t="shared" si="27"/>
        <v>84</v>
      </c>
      <c r="R163" s="16"/>
      <c r="S163" s="16"/>
      <c r="T163" s="33"/>
      <c r="U163" s="16">
        <v>38</v>
      </c>
      <c r="V163" s="16">
        <v>34</v>
      </c>
      <c r="W163" s="33">
        <f t="shared" si="28"/>
        <v>72</v>
      </c>
      <c r="X163" s="20"/>
      <c r="Y163" s="20"/>
      <c r="Z163" s="20"/>
      <c r="AA163" s="33">
        <f t="shared" si="29"/>
        <v>394</v>
      </c>
      <c r="AB163" s="16" t="s">
        <v>117</v>
      </c>
      <c r="AC163" s="14"/>
    </row>
    <row r="164" spans="1:29" ht="15.6" x14ac:dyDescent="0.3">
      <c r="A164" s="13">
        <v>37</v>
      </c>
      <c r="B164" s="18" t="s">
        <v>27</v>
      </c>
      <c r="C164" s="16">
        <v>25</v>
      </c>
      <c r="D164" s="16">
        <v>25</v>
      </c>
      <c r="E164" s="33">
        <f t="shared" si="24"/>
        <v>50</v>
      </c>
      <c r="F164" s="16">
        <v>25</v>
      </c>
      <c r="G164" s="16">
        <v>25</v>
      </c>
      <c r="H164" s="33">
        <f t="shared" si="25"/>
        <v>50</v>
      </c>
      <c r="I164" s="16">
        <v>35</v>
      </c>
      <c r="J164" s="16">
        <v>33</v>
      </c>
      <c r="K164" s="33">
        <f t="shared" si="26"/>
        <v>68</v>
      </c>
      <c r="L164" s="16"/>
      <c r="M164" s="16"/>
      <c r="N164" s="33"/>
      <c r="O164" s="16">
        <v>27</v>
      </c>
      <c r="P164" s="16">
        <v>29</v>
      </c>
      <c r="Q164" s="33">
        <f t="shared" si="27"/>
        <v>56</v>
      </c>
      <c r="R164" s="16"/>
      <c r="S164" s="16"/>
      <c r="T164" s="33"/>
      <c r="U164" s="16">
        <v>27</v>
      </c>
      <c r="V164" s="16">
        <v>28</v>
      </c>
      <c r="W164" s="33">
        <f t="shared" si="28"/>
        <v>55</v>
      </c>
      <c r="X164" s="20"/>
      <c r="Y164" s="20"/>
      <c r="Z164" s="20"/>
      <c r="AA164" s="33">
        <f t="shared" si="29"/>
        <v>279</v>
      </c>
      <c r="AB164" s="16" t="s">
        <v>117</v>
      </c>
      <c r="AC164" s="14"/>
    </row>
    <row r="165" spans="1:29" ht="15.6" x14ac:dyDescent="0.3">
      <c r="A165" s="13">
        <v>38</v>
      </c>
      <c r="B165" s="18" t="s">
        <v>28</v>
      </c>
      <c r="C165" s="16">
        <v>28</v>
      </c>
      <c r="D165" s="16">
        <v>35</v>
      </c>
      <c r="E165" s="33">
        <f t="shared" si="24"/>
        <v>63</v>
      </c>
      <c r="F165" s="16">
        <v>25</v>
      </c>
      <c r="G165" s="16">
        <v>45</v>
      </c>
      <c r="H165" s="33">
        <f t="shared" si="25"/>
        <v>70</v>
      </c>
      <c r="I165" s="16">
        <v>31</v>
      </c>
      <c r="J165" s="16">
        <v>41</v>
      </c>
      <c r="K165" s="33">
        <f t="shared" si="26"/>
        <v>72</v>
      </c>
      <c r="L165" s="16"/>
      <c r="M165" s="16"/>
      <c r="N165" s="33"/>
      <c r="O165" s="16">
        <v>37</v>
      </c>
      <c r="P165" s="16">
        <v>41</v>
      </c>
      <c r="Q165" s="33">
        <f t="shared" si="27"/>
        <v>78</v>
      </c>
      <c r="R165" s="16"/>
      <c r="S165" s="16"/>
      <c r="T165" s="33"/>
      <c r="U165" s="16">
        <v>42</v>
      </c>
      <c r="V165" s="16">
        <v>47</v>
      </c>
      <c r="W165" s="33">
        <f t="shared" si="28"/>
        <v>89</v>
      </c>
      <c r="X165" s="20"/>
      <c r="Y165" s="20"/>
      <c r="Z165" s="20"/>
      <c r="AA165" s="33">
        <f t="shared" si="29"/>
        <v>372</v>
      </c>
      <c r="AB165" s="16" t="s">
        <v>117</v>
      </c>
      <c r="AC165" s="14"/>
    </row>
    <row r="166" spans="1:29" ht="15.6" x14ac:dyDescent="0.3">
      <c r="A166" s="13">
        <v>39</v>
      </c>
      <c r="B166" s="17" t="s">
        <v>29</v>
      </c>
      <c r="C166" s="16">
        <v>50</v>
      </c>
      <c r="D166" s="16">
        <v>49</v>
      </c>
      <c r="E166" s="33">
        <f t="shared" si="24"/>
        <v>99</v>
      </c>
      <c r="F166" s="16">
        <v>50</v>
      </c>
      <c r="G166" s="16">
        <v>49</v>
      </c>
      <c r="H166" s="33">
        <f t="shared" si="25"/>
        <v>99</v>
      </c>
      <c r="I166" s="16">
        <v>44</v>
      </c>
      <c r="J166" s="16">
        <v>47</v>
      </c>
      <c r="K166" s="33">
        <f t="shared" si="26"/>
        <v>91</v>
      </c>
      <c r="L166" s="16"/>
      <c r="M166" s="16"/>
      <c r="N166" s="33"/>
      <c r="O166" s="16">
        <v>50</v>
      </c>
      <c r="P166" s="16">
        <v>44</v>
      </c>
      <c r="Q166" s="33">
        <f t="shared" si="27"/>
        <v>94</v>
      </c>
      <c r="R166" s="16"/>
      <c r="S166" s="16"/>
      <c r="T166" s="33"/>
      <c r="U166" s="16">
        <v>50</v>
      </c>
      <c r="V166" s="16">
        <v>50</v>
      </c>
      <c r="W166" s="33">
        <f t="shared" si="28"/>
        <v>100</v>
      </c>
      <c r="X166" s="20"/>
      <c r="Y166" s="20"/>
      <c r="Z166" s="20"/>
      <c r="AA166" s="33">
        <f t="shared" si="29"/>
        <v>483</v>
      </c>
      <c r="AB166" s="16" t="s">
        <v>117</v>
      </c>
      <c r="AC166" s="14"/>
    </row>
    <row r="167" spans="1:29" ht="15.6" x14ac:dyDescent="0.3">
      <c r="A167" s="13">
        <v>40</v>
      </c>
      <c r="B167" s="18" t="s">
        <v>479</v>
      </c>
      <c r="C167" s="16">
        <v>50</v>
      </c>
      <c r="D167" s="16">
        <v>50</v>
      </c>
      <c r="E167" s="33">
        <f t="shared" si="24"/>
        <v>100</v>
      </c>
      <c r="F167" s="16">
        <v>50</v>
      </c>
      <c r="G167" s="16">
        <v>50</v>
      </c>
      <c r="H167" s="33">
        <f t="shared" si="25"/>
        <v>100</v>
      </c>
      <c r="I167" s="16">
        <v>50</v>
      </c>
      <c r="J167" s="16">
        <v>50</v>
      </c>
      <c r="K167" s="33">
        <f t="shared" si="26"/>
        <v>100</v>
      </c>
      <c r="L167" s="16"/>
      <c r="M167" s="16"/>
      <c r="N167" s="33"/>
      <c r="O167" s="16">
        <v>48</v>
      </c>
      <c r="P167" s="16">
        <v>50</v>
      </c>
      <c r="Q167" s="33">
        <f t="shared" si="27"/>
        <v>98</v>
      </c>
      <c r="R167" s="16"/>
      <c r="S167" s="16"/>
      <c r="T167" s="33"/>
      <c r="U167" s="16">
        <v>50</v>
      </c>
      <c r="V167" s="16">
        <v>50</v>
      </c>
      <c r="W167" s="33">
        <f t="shared" si="28"/>
        <v>100</v>
      </c>
      <c r="X167" s="20"/>
      <c r="Y167" s="20"/>
      <c r="Z167" s="20"/>
      <c r="AA167" s="33">
        <f t="shared" si="29"/>
        <v>498</v>
      </c>
      <c r="AB167" s="16" t="s">
        <v>117</v>
      </c>
      <c r="AC167" s="14"/>
    </row>
    <row r="168" spans="1:29" x14ac:dyDescent="0.25">
      <c r="A168" s="3" t="s">
        <v>115</v>
      </c>
      <c r="B168" s="3"/>
      <c r="C168" s="3"/>
      <c r="D168" s="3"/>
      <c r="E168" s="3"/>
      <c r="F168" s="3"/>
      <c r="G168" s="3" t="s">
        <v>468</v>
      </c>
      <c r="H168" s="3"/>
      <c r="I168" s="3"/>
      <c r="J168" s="3"/>
      <c r="K168" s="3"/>
      <c r="L168" s="3"/>
      <c r="M168" s="3"/>
      <c r="N168" s="3"/>
      <c r="O168" s="3" t="s">
        <v>82</v>
      </c>
      <c r="P168" s="3"/>
      <c r="Q168" s="3"/>
      <c r="R168" s="3"/>
      <c r="S168" s="3"/>
      <c r="T168" s="3"/>
      <c r="U168" s="3" t="s">
        <v>83</v>
      </c>
      <c r="V168" s="3"/>
      <c r="W168" s="3"/>
      <c r="X168" s="3"/>
      <c r="Y168" s="3"/>
      <c r="Z168" s="3"/>
      <c r="AA168" s="3"/>
      <c r="AB168" s="3" t="s">
        <v>84</v>
      </c>
      <c r="AC168" s="3"/>
    </row>
    <row r="169" spans="1:29" x14ac:dyDescent="0.25">
      <c r="A169" s="3" t="s">
        <v>89</v>
      </c>
      <c r="B169" s="3"/>
      <c r="C169" s="3"/>
      <c r="D169" s="3"/>
      <c r="E169" s="3"/>
      <c r="F169" s="3" t="s">
        <v>90</v>
      </c>
      <c r="G169" s="3"/>
      <c r="H169" s="3"/>
      <c r="I169" s="3"/>
      <c r="J169" s="3"/>
      <c r="K169" s="3"/>
      <c r="L169" s="3"/>
      <c r="M169" s="3"/>
      <c r="N169" s="3" t="s">
        <v>462</v>
      </c>
      <c r="O169" s="3"/>
      <c r="P169" s="3"/>
      <c r="Q169" s="3"/>
      <c r="R169" s="3"/>
      <c r="S169" s="3"/>
      <c r="T169" s="3" t="s">
        <v>463</v>
      </c>
      <c r="U169" s="3"/>
      <c r="V169" s="3"/>
      <c r="W169" s="3"/>
      <c r="X169" s="3"/>
      <c r="Y169" s="3"/>
      <c r="Z169" s="3"/>
      <c r="AA169" s="3"/>
      <c r="AB169" s="3" t="s">
        <v>85</v>
      </c>
      <c r="AC169" s="3"/>
    </row>
    <row r="170" spans="1:29" x14ac:dyDescent="0.25">
      <c r="A170" s="3" t="s">
        <v>466</v>
      </c>
      <c r="B170" s="3"/>
      <c r="C170" s="3"/>
      <c r="D170" s="3"/>
      <c r="E170" s="3"/>
      <c r="F170" s="3" t="s">
        <v>91</v>
      </c>
      <c r="G170" s="3"/>
      <c r="H170" s="3"/>
      <c r="I170" s="3"/>
      <c r="J170" s="3"/>
      <c r="K170" s="3"/>
      <c r="L170" s="3"/>
      <c r="M170" s="3"/>
      <c r="N170" s="3" t="s">
        <v>94</v>
      </c>
      <c r="O170" s="3"/>
      <c r="P170" s="3"/>
      <c r="Q170" s="3"/>
      <c r="R170" s="3"/>
      <c r="S170" s="3"/>
      <c r="T170" s="3" t="s">
        <v>97</v>
      </c>
      <c r="U170" s="3"/>
      <c r="V170" s="3"/>
      <c r="W170" s="3"/>
      <c r="X170" s="3"/>
      <c r="Y170" s="3"/>
      <c r="Z170" s="3"/>
      <c r="AA170" s="3"/>
      <c r="AB170" s="3" t="s">
        <v>99</v>
      </c>
      <c r="AC170" s="3"/>
    </row>
    <row r="171" spans="1:29" x14ac:dyDescent="0.25">
      <c r="A171" s="3" t="s">
        <v>89</v>
      </c>
      <c r="B171" s="3"/>
      <c r="C171" s="3"/>
      <c r="D171" s="3"/>
      <c r="E171" s="3"/>
      <c r="F171" s="3" t="s">
        <v>92</v>
      </c>
      <c r="G171" s="3"/>
      <c r="H171" s="3"/>
      <c r="I171" s="3"/>
      <c r="J171" s="3"/>
      <c r="K171" s="3"/>
      <c r="L171" s="3"/>
      <c r="M171" s="3"/>
      <c r="N171" s="3" t="s">
        <v>95</v>
      </c>
      <c r="O171" s="3"/>
      <c r="P171" s="3"/>
      <c r="Q171" s="3"/>
      <c r="R171" s="3"/>
      <c r="S171" s="3"/>
      <c r="T171" s="3" t="s">
        <v>98</v>
      </c>
      <c r="U171" s="3"/>
      <c r="V171" s="3"/>
      <c r="W171" s="3"/>
      <c r="X171" s="3"/>
      <c r="Y171" s="3"/>
      <c r="Z171" s="3"/>
      <c r="AA171" s="3"/>
      <c r="AB171" s="3"/>
      <c r="AC171" s="3"/>
    </row>
    <row r="174" spans="1:29" ht="15.6" x14ac:dyDescent="0.3">
      <c r="A174" s="6"/>
      <c r="B174" s="15" t="s">
        <v>494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 t="s">
        <v>467</v>
      </c>
      <c r="N174" s="6"/>
      <c r="O174" s="6"/>
      <c r="P174" s="6"/>
      <c r="Q174" s="6"/>
      <c r="R174" s="6"/>
      <c r="S174" s="6"/>
      <c r="T174" s="6"/>
      <c r="U174" s="6"/>
      <c r="V174" s="6"/>
      <c r="W174" s="5" t="s">
        <v>456</v>
      </c>
      <c r="X174" s="6"/>
      <c r="Y174" s="6"/>
      <c r="Z174" s="6"/>
      <c r="AA174" s="5"/>
      <c r="AB174" s="5"/>
      <c r="AC174" s="6"/>
    </row>
    <row r="175" spans="1:29" ht="15.6" x14ac:dyDescent="0.3">
      <c r="A175" s="6"/>
      <c r="B175" s="15" t="s">
        <v>81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5" t="s">
        <v>100</v>
      </c>
      <c r="X175" s="5"/>
      <c r="Y175" s="6"/>
      <c r="Z175" s="6"/>
      <c r="AA175" s="5"/>
      <c r="AB175" s="5"/>
      <c r="AC175" s="5"/>
    </row>
    <row r="176" spans="1:29" ht="15.6" x14ac:dyDescent="0.3">
      <c r="A176" s="6"/>
      <c r="B176" s="15" t="s">
        <v>459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5" t="s">
        <v>88</v>
      </c>
      <c r="X176" s="5"/>
      <c r="Y176" s="6"/>
      <c r="Z176" s="6"/>
      <c r="AA176" s="5"/>
      <c r="AB176" s="5"/>
      <c r="AC176" s="5"/>
    </row>
    <row r="177" spans="1:29" ht="15.6" x14ac:dyDescent="0.3">
      <c r="A177" s="6"/>
      <c r="B177" s="15" t="s">
        <v>460</v>
      </c>
      <c r="C177" s="6"/>
      <c r="D177" s="6"/>
      <c r="E177" s="6"/>
      <c r="F177" s="6"/>
      <c r="G177" s="6"/>
      <c r="H177" s="6"/>
      <c r="I177" s="6"/>
      <c r="J177" s="6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5" t="s">
        <v>379</v>
      </c>
      <c r="X177" s="5"/>
      <c r="Y177" s="6"/>
      <c r="Z177" s="6"/>
      <c r="AA177" s="5"/>
      <c r="AB177" s="5"/>
      <c r="AC177" s="5"/>
    </row>
    <row r="178" spans="1:29" ht="15.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5" t="s">
        <v>380</v>
      </c>
      <c r="X178" s="5"/>
      <c r="Y178" s="6"/>
      <c r="Z178" s="6"/>
      <c r="AA178" s="5"/>
      <c r="AB178" s="5"/>
      <c r="AC178" s="5"/>
    </row>
    <row r="179" spans="1:29" ht="15.6" x14ac:dyDescent="0.3">
      <c r="A179" s="6"/>
      <c r="B179" s="6"/>
      <c r="C179" s="5" t="s">
        <v>482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5"/>
      <c r="X179" s="5"/>
      <c r="Y179" s="6"/>
      <c r="Z179" s="6"/>
      <c r="AA179" s="5"/>
      <c r="AB179" s="5"/>
      <c r="AC179" s="5"/>
    </row>
    <row r="180" spans="1:29" ht="15.6" x14ac:dyDescent="0.3">
      <c r="A180" s="57" t="s">
        <v>0</v>
      </c>
      <c r="B180" s="38" t="s">
        <v>469</v>
      </c>
      <c r="C180" s="60" t="s">
        <v>457</v>
      </c>
      <c r="D180" s="61"/>
      <c r="E180" s="62"/>
      <c r="F180" s="60" t="s">
        <v>1</v>
      </c>
      <c r="G180" s="61"/>
      <c r="H180" s="62"/>
      <c r="I180" s="60" t="s">
        <v>2</v>
      </c>
      <c r="J180" s="61"/>
      <c r="K180" s="62"/>
      <c r="L180" s="60" t="s">
        <v>8</v>
      </c>
      <c r="M180" s="61"/>
      <c r="N180" s="62"/>
      <c r="O180" s="60" t="s">
        <v>3</v>
      </c>
      <c r="P180" s="61"/>
      <c r="Q180" s="62"/>
      <c r="R180" s="31"/>
      <c r="S180" s="31" t="s">
        <v>4</v>
      </c>
      <c r="T180" s="31"/>
      <c r="U180" s="60" t="s">
        <v>5</v>
      </c>
      <c r="V180" s="61"/>
      <c r="W180" s="62"/>
      <c r="X180" s="57" t="s">
        <v>16</v>
      </c>
      <c r="Y180" s="57" t="s">
        <v>17</v>
      </c>
      <c r="Z180" s="57" t="s">
        <v>18</v>
      </c>
      <c r="AA180" s="57" t="s">
        <v>19</v>
      </c>
      <c r="AB180" s="57" t="s">
        <v>20</v>
      </c>
      <c r="AC180" s="57" t="s">
        <v>21</v>
      </c>
    </row>
    <row r="181" spans="1:29" ht="55.2" x14ac:dyDescent="0.25">
      <c r="A181" s="58"/>
      <c r="B181" s="35" t="s">
        <v>470</v>
      </c>
      <c r="C181" s="32" t="s">
        <v>6</v>
      </c>
      <c r="D181" s="32" t="s">
        <v>461</v>
      </c>
      <c r="E181" s="32" t="s">
        <v>7</v>
      </c>
      <c r="F181" s="32" t="s">
        <v>6</v>
      </c>
      <c r="G181" s="32" t="s">
        <v>461</v>
      </c>
      <c r="H181" s="32" t="s">
        <v>7</v>
      </c>
      <c r="I181" s="32" t="s">
        <v>6</v>
      </c>
      <c r="J181" s="32" t="s">
        <v>461</v>
      </c>
      <c r="K181" s="32" t="s">
        <v>7</v>
      </c>
      <c r="L181" s="32" t="s">
        <v>6</v>
      </c>
      <c r="M181" s="32" t="s">
        <v>461</v>
      </c>
      <c r="N181" s="32" t="s">
        <v>7</v>
      </c>
      <c r="O181" s="32" t="s">
        <v>6</v>
      </c>
      <c r="P181" s="32" t="s">
        <v>461</v>
      </c>
      <c r="Q181" s="32" t="s">
        <v>7</v>
      </c>
      <c r="R181" s="32" t="s">
        <v>6</v>
      </c>
      <c r="S181" s="32" t="s">
        <v>461</v>
      </c>
      <c r="T181" s="32" t="s">
        <v>7</v>
      </c>
      <c r="U181" s="32" t="s">
        <v>6</v>
      </c>
      <c r="V181" s="32" t="s">
        <v>461</v>
      </c>
      <c r="W181" s="32" t="s">
        <v>7</v>
      </c>
      <c r="X181" s="58"/>
      <c r="Y181" s="58"/>
      <c r="Z181" s="58"/>
      <c r="AA181" s="58"/>
      <c r="AB181" s="58"/>
      <c r="AC181" s="58"/>
    </row>
    <row r="182" spans="1:29" ht="15.6" x14ac:dyDescent="0.3">
      <c r="A182" s="59"/>
      <c r="B182" s="36"/>
      <c r="C182" s="33">
        <v>50</v>
      </c>
      <c r="D182" s="33">
        <v>50</v>
      </c>
      <c r="E182" s="33">
        <v>100</v>
      </c>
      <c r="F182" s="33">
        <v>50</v>
      </c>
      <c r="G182" s="33">
        <v>50</v>
      </c>
      <c r="H182" s="33">
        <v>100</v>
      </c>
      <c r="I182" s="33">
        <v>50</v>
      </c>
      <c r="J182" s="33">
        <v>50</v>
      </c>
      <c r="K182" s="33">
        <v>100</v>
      </c>
      <c r="L182" s="33">
        <v>50</v>
      </c>
      <c r="M182" s="33">
        <v>50</v>
      </c>
      <c r="N182" s="33">
        <v>100</v>
      </c>
      <c r="O182" s="33">
        <v>50</v>
      </c>
      <c r="P182" s="33">
        <v>50</v>
      </c>
      <c r="Q182" s="33">
        <v>100</v>
      </c>
      <c r="R182" s="33">
        <v>50</v>
      </c>
      <c r="S182" s="33">
        <v>50</v>
      </c>
      <c r="T182" s="33">
        <v>100</v>
      </c>
      <c r="U182" s="33">
        <v>50</v>
      </c>
      <c r="V182" s="33">
        <v>50</v>
      </c>
      <c r="W182" s="33">
        <v>100</v>
      </c>
      <c r="X182" s="59"/>
      <c r="Y182" s="59"/>
      <c r="Z182" s="59"/>
      <c r="AA182" s="59"/>
      <c r="AB182" s="59"/>
      <c r="AC182" s="59"/>
    </row>
    <row r="183" spans="1:29" ht="15.6" x14ac:dyDescent="0.3">
      <c r="A183" s="16">
        <v>41</v>
      </c>
      <c r="B183" s="17" t="s">
        <v>574</v>
      </c>
      <c r="C183" s="18">
        <v>25</v>
      </c>
      <c r="D183" s="18">
        <v>25</v>
      </c>
      <c r="E183" s="37">
        <f t="shared" ref="E183:E198" si="30">SUM(C183:D183)</f>
        <v>50</v>
      </c>
      <c r="F183" s="18">
        <v>25</v>
      </c>
      <c r="G183" s="18">
        <v>25</v>
      </c>
      <c r="H183" s="37">
        <f t="shared" ref="H183:H198" si="31">SUM(F183:G183)</f>
        <v>50</v>
      </c>
      <c r="I183" s="18">
        <v>30</v>
      </c>
      <c r="J183" s="18">
        <v>36</v>
      </c>
      <c r="K183" s="37">
        <f t="shared" ref="K183:K198" si="32">SUM(I183:J183)</f>
        <v>66</v>
      </c>
      <c r="L183" s="18"/>
      <c r="M183" s="18"/>
      <c r="N183" s="37"/>
      <c r="O183" s="18">
        <v>41</v>
      </c>
      <c r="P183" s="18">
        <v>39</v>
      </c>
      <c r="Q183" s="37">
        <f t="shared" ref="Q183:Q198" si="33">SUM(O183:P183)</f>
        <v>80</v>
      </c>
      <c r="R183" s="18"/>
      <c r="S183" s="18"/>
      <c r="T183" s="37"/>
      <c r="U183" s="18">
        <v>27</v>
      </c>
      <c r="V183" s="16">
        <v>32</v>
      </c>
      <c r="W183" s="37">
        <f t="shared" ref="W183:W198" si="34">SUM(U183:V183)</f>
        <v>59</v>
      </c>
      <c r="X183" s="19"/>
      <c r="Y183" s="19"/>
      <c r="Z183" s="19"/>
      <c r="AA183" s="33">
        <f t="shared" ref="AA183:AA198" si="35">SUM(W183,Q183,K183,H183,E183)</f>
        <v>305</v>
      </c>
      <c r="AB183" s="16" t="s">
        <v>117</v>
      </c>
      <c r="AC183" s="19"/>
    </row>
    <row r="184" spans="1:29" ht="15.6" x14ac:dyDescent="0.3">
      <c r="A184" s="16">
        <v>42</v>
      </c>
      <c r="B184" s="17" t="s">
        <v>436</v>
      </c>
      <c r="C184" s="18">
        <v>36</v>
      </c>
      <c r="D184" s="18">
        <v>28</v>
      </c>
      <c r="E184" s="37">
        <f t="shared" si="30"/>
        <v>64</v>
      </c>
      <c r="F184" s="18">
        <v>21</v>
      </c>
      <c r="G184" s="18">
        <v>29</v>
      </c>
      <c r="H184" s="37">
        <f t="shared" si="31"/>
        <v>50</v>
      </c>
      <c r="I184" s="18">
        <v>27</v>
      </c>
      <c r="J184" s="18">
        <v>29</v>
      </c>
      <c r="K184" s="37">
        <f t="shared" si="32"/>
        <v>56</v>
      </c>
      <c r="L184" s="18"/>
      <c r="M184" s="18"/>
      <c r="N184" s="37"/>
      <c r="O184" s="18">
        <v>22</v>
      </c>
      <c r="P184" s="18">
        <v>29</v>
      </c>
      <c r="Q184" s="37">
        <f t="shared" si="33"/>
        <v>51</v>
      </c>
      <c r="R184" s="18"/>
      <c r="S184" s="18"/>
      <c r="T184" s="37"/>
      <c r="U184" s="18">
        <v>22</v>
      </c>
      <c r="V184" s="16">
        <v>28</v>
      </c>
      <c r="W184" s="37">
        <f t="shared" si="34"/>
        <v>50</v>
      </c>
      <c r="X184" s="19"/>
      <c r="Y184" s="19"/>
      <c r="Z184" s="19"/>
      <c r="AA184" s="33">
        <f t="shared" si="35"/>
        <v>271</v>
      </c>
      <c r="AB184" s="16" t="s">
        <v>117</v>
      </c>
      <c r="AC184" s="19"/>
    </row>
    <row r="185" spans="1:29" ht="15.6" x14ac:dyDescent="0.3">
      <c r="A185" s="16">
        <v>43</v>
      </c>
      <c r="B185" s="17" t="s">
        <v>31</v>
      </c>
      <c r="C185" s="18">
        <v>25</v>
      </c>
      <c r="D185" s="18">
        <v>28</v>
      </c>
      <c r="E185" s="37">
        <f t="shared" si="30"/>
        <v>53</v>
      </c>
      <c r="F185" s="18">
        <v>25</v>
      </c>
      <c r="G185" s="18">
        <v>25</v>
      </c>
      <c r="H185" s="37">
        <f t="shared" si="31"/>
        <v>50</v>
      </c>
      <c r="I185" s="18">
        <v>25</v>
      </c>
      <c r="J185" s="18">
        <v>29</v>
      </c>
      <c r="K185" s="37">
        <f t="shared" si="32"/>
        <v>54</v>
      </c>
      <c r="L185" s="18"/>
      <c r="M185" s="18"/>
      <c r="N185" s="37"/>
      <c r="O185" s="18">
        <v>25</v>
      </c>
      <c r="P185" s="18">
        <v>29</v>
      </c>
      <c r="Q185" s="37">
        <f t="shared" si="33"/>
        <v>54</v>
      </c>
      <c r="R185" s="18"/>
      <c r="S185" s="18"/>
      <c r="T185" s="37"/>
      <c r="U185" s="18">
        <v>30</v>
      </c>
      <c r="V185" s="16">
        <v>27</v>
      </c>
      <c r="W185" s="37">
        <f t="shared" si="34"/>
        <v>57</v>
      </c>
      <c r="X185" s="19"/>
      <c r="Y185" s="19"/>
      <c r="Z185" s="19"/>
      <c r="AA185" s="33">
        <f t="shared" si="35"/>
        <v>268</v>
      </c>
      <c r="AB185" s="16" t="s">
        <v>117</v>
      </c>
      <c r="AC185" s="19"/>
    </row>
    <row r="186" spans="1:29" ht="15.6" x14ac:dyDescent="0.3">
      <c r="A186" s="16">
        <v>44</v>
      </c>
      <c r="B186" s="17" t="s">
        <v>35</v>
      </c>
      <c r="C186" s="18">
        <v>50</v>
      </c>
      <c r="D186" s="18">
        <v>50</v>
      </c>
      <c r="E186" s="37">
        <f t="shared" si="30"/>
        <v>100</v>
      </c>
      <c r="F186" s="18">
        <v>50</v>
      </c>
      <c r="G186" s="18">
        <v>50</v>
      </c>
      <c r="H186" s="37">
        <f t="shared" si="31"/>
        <v>100</v>
      </c>
      <c r="I186" s="18">
        <v>50</v>
      </c>
      <c r="J186" s="18">
        <v>50</v>
      </c>
      <c r="K186" s="37">
        <f t="shared" si="32"/>
        <v>100</v>
      </c>
      <c r="L186" s="18"/>
      <c r="M186" s="18"/>
      <c r="N186" s="37"/>
      <c r="O186" s="18">
        <v>50</v>
      </c>
      <c r="P186" s="18">
        <v>50</v>
      </c>
      <c r="Q186" s="37">
        <f t="shared" si="33"/>
        <v>100</v>
      </c>
      <c r="R186" s="18"/>
      <c r="S186" s="18"/>
      <c r="T186" s="37"/>
      <c r="U186" s="18">
        <v>50</v>
      </c>
      <c r="V186" s="16">
        <v>50</v>
      </c>
      <c r="W186" s="37">
        <f t="shared" si="34"/>
        <v>100</v>
      </c>
      <c r="X186" s="19"/>
      <c r="Y186" s="19"/>
      <c r="Z186" s="19"/>
      <c r="AA186" s="33">
        <f t="shared" si="35"/>
        <v>500</v>
      </c>
      <c r="AB186" s="16" t="s">
        <v>117</v>
      </c>
      <c r="AC186" s="19"/>
    </row>
    <row r="187" spans="1:29" ht="15.6" x14ac:dyDescent="0.3">
      <c r="A187" s="16">
        <v>45</v>
      </c>
      <c r="B187" s="17" t="s">
        <v>36</v>
      </c>
      <c r="C187" s="18">
        <v>50</v>
      </c>
      <c r="D187" s="18">
        <v>50</v>
      </c>
      <c r="E187" s="37">
        <f>SUM(C187:D187)</f>
        <v>100</v>
      </c>
      <c r="F187" s="18">
        <v>50</v>
      </c>
      <c r="G187" s="18">
        <v>50</v>
      </c>
      <c r="H187" s="37">
        <f t="shared" si="31"/>
        <v>100</v>
      </c>
      <c r="I187" s="18">
        <v>50</v>
      </c>
      <c r="J187" s="18">
        <v>50</v>
      </c>
      <c r="K187" s="37">
        <f t="shared" si="32"/>
        <v>100</v>
      </c>
      <c r="L187" s="18"/>
      <c r="M187" s="18"/>
      <c r="N187" s="37"/>
      <c r="O187" s="18">
        <v>50</v>
      </c>
      <c r="P187" s="18">
        <v>50</v>
      </c>
      <c r="Q187" s="37">
        <f t="shared" si="33"/>
        <v>100</v>
      </c>
      <c r="R187" s="18"/>
      <c r="S187" s="18"/>
      <c r="T187" s="37"/>
      <c r="U187" s="18">
        <v>50</v>
      </c>
      <c r="V187" s="16">
        <v>50</v>
      </c>
      <c r="W187" s="37">
        <f t="shared" si="34"/>
        <v>100</v>
      </c>
      <c r="X187" s="19"/>
      <c r="Y187" s="19"/>
      <c r="Z187" s="19"/>
      <c r="AA187" s="33">
        <f t="shared" si="35"/>
        <v>500</v>
      </c>
      <c r="AB187" s="16" t="s">
        <v>117</v>
      </c>
      <c r="AC187" s="19"/>
    </row>
    <row r="188" spans="1:29" ht="15.6" x14ac:dyDescent="0.3">
      <c r="A188" s="16">
        <v>46</v>
      </c>
      <c r="B188" s="17" t="s">
        <v>37</v>
      </c>
      <c r="C188" s="18">
        <v>26</v>
      </c>
      <c r="D188" s="18">
        <v>28</v>
      </c>
      <c r="E188" s="37">
        <f>SUM(C188:D188)</f>
        <v>54</v>
      </c>
      <c r="F188" s="18">
        <v>25</v>
      </c>
      <c r="G188" s="18">
        <v>25</v>
      </c>
      <c r="H188" s="37">
        <f t="shared" si="31"/>
        <v>50</v>
      </c>
      <c r="I188" s="18">
        <v>42</v>
      </c>
      <c r="J188" s="18">
        <v>28</v>
      </c>
      <c r="K188" s="37">
        <f t="shared" si="32"/>
        <v>70</v>
      </c>
      <c r="L188" s="18"/>
      <c r="M188" s="18"/>
      <c r="N188" s="37"/>
      <c r="O188" s="18">
        <v>26</v>
      </c>
      <c r="P188" s="18">
        <v>31</v>
      </c>
      <c r="Q188" s="37">
        <f t="shared" si="33"/>
        <v>57</v>
      </c>
      <c r="R188" s="18"/>
      <c r="S188" s="18"/>
      <c r="T188" s="37"/>
      <c r="U188" s="18">
        <v>27</v>
      </c>
      <c r="V188" s="16">
        <v>27</v>
      </c>
      <c r="W188" s="37">
        <f t="shared" si="34"/>
        <v>54</v>
      </c>
      <c r="X188" s="19"/>
      <c r="Y188" s="19"/>
      <c r="Z188" s="19"/>
      <c r="AA188" s="33">
        <f t="shared" si="35"/>
        <v>285</v>
      </c>
      <c r="AB188" s="16" t="s">
        <v>117</v>
      </c>
      <c r="AC188" s="19"/>
    </row>
    <row r="189" spans="1:29" ht="15.6" x14ac:dyDescent="0.3">
      <c r="A189" s="16">
        <v>47</v>
      </c>
      <c r="B189" s="17" t="s">
        <v>38</v>
      </c>
      <c r="C189" s="18">
        <v>29</v>
      </c>
      <c r="D189" s="18">
        <v>27</v>
      </c>
      <c r="E189" s="37">
        <f t="shared" si="30"/>
        <v>56</v>
      </c>
      <c r="F189" s="18">
        <v>25</v>
      </c>
      <c r="G189" s="18">
        <v>28</v>
      </c>
      <c r="H189" s="37">
        <f t="shared" si="31"/>
        <v>53</v>
      </c>
      <c r="I189" s="18">
        <v>39</v>
      </c>
      <c r="J189" s="18">
        <v>38</v>
      </c>
      <c r="K189" s="37">
        <f t="shared" si="32"/>
        <v>77</v>
      </c>
      <c r="L189" s="18"/>
      <c r="M189" s="18"/>
      <c r="N189" s="37"/>
      <c r="O189" s="18">
        <v>36</v>
      </c>
      <c r="P189" s="18">
        <v>32</v>
      </c>
      <c r="Q189" s="37">
        <f t="shared" si="33"/>
        <v>68</v>
      </c>
      <c r="R189" s="18"/>
      <c r="S189" s="18"/>
      <c r="T189" s="37"/>
      <c r="U189" s="18">
        <v>31</v>
      </c>
      <c r="V189" s="16">
        <v>28</v>
      </c>
      <c r="W189" s="37">
        <f t="shared" si="34"/>
        <v>59</v>
      </c>
      <c r="X189" s="19"/>
      <c r="Y189" s="19"/>
      <c r="Z189" s="19"/>
      <c r="AA189" s="33">
        <f t="shared" si="35"/>
        <v>313</v>
      </c>
      <c r="AB189" s="16" t="s">
        <v>117</v>
      </c>
      <c r="AC189" s="19"/>
    </row>
    <row r="190" spans="1:29" ht="15.6" x14ac:dyDescent="0.3">
      <c r="A190" s="16">
        <v>48</v>
      </c>
      <c r="B190" s="17" t="s">
        <v>575</v>
      </c>
      <c r="C190" s="18">
        <v>46</v>
      </c>
      <c r="D190" s="18">
        <v>33</v>
      </c>
      <c r="E190" s="37">
        <f t="shared" si="30"/>
        <v>79</v>
      </c>
      <c r="F190" s="18">
        <v>34</v>
      </c>
      <c r="G190" s="18">
        <v>47</v>
      </c>
      <c r="H190" s="37">
        <f t="shared" si="31"/>
        <v>81</v>
      </c>
      <c r="I190" s="18">
        <v>47</v>
      </c>
      <c r="J190" s="18">
        <v>39</v>
      </c>
      <c r="K190" s="37">
        <f t="shared" si="32"/>
        <v>86</v>
      </c>
      <c r="L190" s="18"/>
      <c r="M190" s="18"/>
      <c r="N190" s="37"/>
      <c r="O190" s="18">
        <v>42</v>
      </c>
      <c r="P190" s="18">
        <v>36</v>
      </c>
      <c r="Q190" s="37">
        <f t="shared" si="33"/>
        <v>78</v>
      </c>
      <c r="R190" s="18"/>
      <c r="S190" s="18"/>
      <c r="T190" s="37"/>
      <c r="U190" s="18">
        <v>46</v>
      </c>
      <c r="V190" s="16">
        <v>46</v>
      </c>
      <c r="W190" s="37">
        <f t="shared" si="34"/>
        <v>92</v>
      </c>
      <c r="X190" s="19"/>
      <c r="Y190" s="19"/>
      <c r="Z190" s="19"/>
      <c r="AA190" s="33">
        <f t="shared" si="35"/>
        <v>416</v>
      </c>
      <c r="AB190" s="16" t="s">
        <v>117</v>
      </c>
      <c r="AC190" s="19"/>
    </row>
    <row r="191" spans="1:29" ht="15.6" x14ac:dyDescent="0.3">
      <c r="A191" s="16">
        <v>49</v>
      </c>
      <c r="B191" s="17" t="s">
        <v>576</v>
      </c>
      <c r="C191" s="18">
        <v>42</v>
      </c>
      <c r="D191" s="18">
        <v>45</v>
      </c>
      <c r="E191" s="37">
        <f t="shared" si="30"/>
        <v>87</v>
      </c>
      <c r="F191" s="18">
        <v>33</v>
      </c>
      <c r="G191" s="18">
        <v>39</v>
      </c>
      <c r="H191" s="37">
        <f t="shared" si="31"/>
        <v>72</v>
      </c>
      <c r="I191" s="18">
        <v>29</v>
      </c>
      <c r="J191" s="18">
        <v>37</v>
      </c>
      <c r="K191" s="37">
        <f t="shared" si="32"/>
        <v>66</v>
      </c>
      <c r="L191" s="18"/>
      <c r="M191" s="18"/>
      <c r="N191" s="37"/>
      <c r="O191" s="18">
        <v>26</v>
      </c>
      <c r="P191" s="18">
        <v>34</v>
      </c>
      <c r="Q191" s="37">
        <f t="shared" si="33"/>
        <v>60</v>
      </c>
      <c r="R191" s="18"/>
      <c r="S191" s="18"/>
      <c r="T191" s="37"/>
      <c r="U191" s="18">
        <v>25</v>
      </c>
      <c r="V191" s="16">
        <v>43</v>
      </c>
      <c r="W191" s="37">
        <f t="shared" si="34"/>
        <v>68</v>
      </c>
      <c r="X191" s="19"/>
      <c r="Y191" s="19"/>
      <c r="Z191" s="19"/>
      <c r="AA191" s="33">
        <f t="shared" si="35"/>
        <v>353</v>
      </c>
      <c r="AB191" s="16" t="s">
        <v>117</v>
      </c>
      <c r="AC191" s="19"/>
    </row>
    <row r="192" spans="1:29" ht="15.6" x14ac:dyDescent="0.3">
      <c r="A192" s="16">
        <v>50</v>
      </c>
      <c r="B192" s="17" t="s">
        <v>40</v>
      </c>
      <c r="C192" s="18">
        <v>50</v>
      </c>
      <c r="D192" s="18">
        <v>45</v>
      </c>
      <c r="E192" s="37">
        <f t="shared" si="30"/>
        <v>95</v>
      </c>
      <c r="F192" s="18">
        <v>35</v>
      </c>
      <c r="G192" s="18">
        <v>46</v>
      </c>
      <c r="H192" s="37">
        <f t="shared" si="31"/>
        <v>81</v>
      </c>
      <c r="I192" s="18">
        <v>45</v>
      </c>
      <c r="J192" s="18">
        <v>46</v>
      </c>
      <c r="K192" s="37">
        <f t="shared" si="32"/>
        <v>91</v>
      </c>
      <c r="L192" s="18"/>
      <c r="M192" s="18"/>
      <c r="N192" s="37"/>
      <c r="O192" s="18">
        <v>45</v>
      </c>
      <c r="P192" s="18">
        <v>50</v>
      </c>
      <c r="Q192" s="37">
        <f t="shared" si="33"/>
        <v>95</v>
      </c>
      <c r="R192" s="18"/>
      <c r="S192" s="18"/>
      <c r="T192" s="37"/>
      <c r="U192" s="18">
        <v>25</v>
      </c>
      <c r="V192" s="16">
        <v>46</v>
      </c>
      <c r="W192" s="37">
        <f t="shared" si="34"/>
        <v>71</v>
      </c>
      <c r="X192" s="19"/>
      <c r="Y192" s="19"/>
      <c r="Z192" s="19"/>
      <c r="AA192" s="33">
        <f t="shared" si="35"/>
        <v>433</v>
      </c>
      <c r="AB192" s="16" t="s">
        <v>117</v>
      </c>
      <c r="AC192" s="19"/>
    </row>
    <row r="193" spans="1:29" ht="15.6" x14ac:dyDescent="0.3">
      <c r="A193" s="16">
        <v>51</v>
      </c>
      <c r="B193" s="17" t="s">
        <v>41</v>
      </c>
      <c r="C193" s="18">
        <v>25</v>
      </c>
      <c r="D193" s="18">
        <v>27</v>
      </c>
      <c r="E193" s="37">
        <f t="shared" si="30"/>
        <v>52</v>
      </c>
      <c r="F193" s="18">
        <v>39</v>
      </c>
      <c r="G193" s="18">
        <v>28</v>
      </c>
      <c r="H193" s="37">
        <f t="shared" si="31"/>
        <v>67</v>
      </c>
      <c r="I193" s="18">
        <v>26</v>
      </c>
      <c r="J193" s="18">
        <v>36</v>
      </c>
      <c r="K193" s="37">
        <f t="shared" si="32"/>
        <v>62</v>
      </c>
      <c r="L193" s="18"/>
      <c r="M193" s="18"/>
      <c r="N193" s="37"/>
      <c r="O193" s="18">
        <v>35</v>
      </c>
      <c r="P193" s="18">
        <v>29</v>
      </c>
      <c r="Q193" s="37">
        <f t="shared" si="33"/>
        <v>64</v>
      </c>
      <c r="R193" s="18"/>
      <c r="S193" s="18"/>
      <c r="T193" s="37"/>
      <c r="U193" s="18">
        <v>27</v>
      </c>
      <c r="V193" s="16">
        <v>27</v>
      </c>
      <c r="W193" s="37">
        <f t="shared" si="34"/>
        <v>54</v>
      </c>
      <c r="X193" s="19"/>
      <c r="Y193" s="19"/>
      <c r="Z193" s="19"/>
      <c r="AA193" s="33">
        <f t="shared" si="35"/>
        <v>299</v>
      </c>
      <c r="AB193" s="16" t="s">
        <v>117</v>
      </c>
      <c r="AC193" s="19"/>
    </row>
    <row r="194" spans="1:29" ht="15.6" x14ac:dyDescent="0.3">
      <c r="A194" s="16">
        <v>52</v>
      </c>
      <c r="B194" s="17" t="s">
        <v>42</v>
      </c>
      <c r="C194" s="18">
        <v>38</v>
      </c>
      <c r="D194" s="18">
        <v>44</v>
      </c>
      <c r="E194" s="37">
        <f t="shared" si="30"/>
        <v>82</v>
      </c>
      <c r="F194" s="18">
        <v>40</v>
      </c>
      <c r="G194" s="18">
        <v>44</v>
      </c>
      <c r="H194" s="37">
        <f t="shared" si="31"/>
        <v>84</v>
      </c>
      <c r="I194" s="18">
        <v>42</v>
      </c>
      <c r="J194" s="18">
        <v>39</v>
      </c>
      <c r="K194" s="37">
        <f t="shared" si="32"/>
        <v>81</v>
      </c>
      <c r="L194" s="18"/>
      <c r="M194" s="18"/>
      <c r="N194" s="37"/>
      <c r="O194" s="18">
        <v>39</v>
      </c>
      <c r="P194" s="18">
        <v>31</v>
      </c>
      <c r="Q194" s="37">
        <f t="shared" si="33"/>
        <v>70</v>
      </c>
      <c r="R194" s="18"/>
      <c r="S194" s="18"/>
      <c r="T194" s="37"/>
      <c r="U194" s="18">
        <v>36</v>
      </c>
      <c r="V194" s="16">
        <v>40</v>
      </c>
      <c r="W194" s="37">
        <f t="shared" si="34"/>
        <v>76</v>
      </c>
      <c r="X194" s="19"/>
      <c r="Y194" s="19"/>
      <c r="Z194" s="19"/>
      <c r="AA194" s="33">
        <f t="shared" si="35"/>
        <v>393</v>
      </c>
      <c r="AB194" s="16" t="s">
        <v>117</v>
      </c>
      <c r="AC194" s="19"/>
    </row>
    <row r="195" spans="1:29" ht="15.6" x14ac:dyDescent="0.3">
      <c r="A195" s="16">
        <v>53</v>
      </c>
      <c r="B195" s="17" t="s">
        <v>43</v>
      </c>
      <c r="C195" s="18">
        <v>32</v>
      </c>
      <c r="D195" s="18">
        <v>28</v>
      </c>
      <c r="E195" s="37">
        <f t="shared" si="30"/>
        <v>60</v>
      </c>
      <c r="F195" s="18">
        <v>30</v>
      </c>
      <c r="G195" s="18">
        <v>32</v>
      </c>
      <c r="H195" s="37">
        <f t="shared" si="31"/>
        <v>62</v>
      </c>
      <c r="I195" s="18">
        <v>43</v>
      </c>
      <c r="J195" s="18">
        <v>39</v>
      </c>
      <c r="K195" s="37">
        <f t="shared" si="32"/>
        <v>82</v>
      </c>
      <c r="L195" s="18"/>
      <c r="M195" s="18"/>
      <c r="N195" s="37"/>
      <c r="O195" s="18">
        <v>42</v>
      </c>
      <c r="P195" s="18">
        <v>32</v>
      </c>
      <c r="Q195" s="37">
        <f t="shared" si="33"/>
        <v>74</v>
      </c>
      <c r="R195" s="18"/>
      <c r="S195" s="18"/>
      <c r="T195" s="37"/>
      <c r="U195" s="18">
        <v>27</v>
      </c>
      <c r="V195" s="16">
        <v>40</v>
      </c>
      <c r="W195" s="37">
        <f t="shared" si="34"/>
        <v>67</v>
      </c>
      <c r="X195" s="19"/>
      <c r="Y195" s="19"/>
      <c r="Z195" s="19"/>
      <c r="AA195" s="33">
        <f t="shared" si="35"/>
        <v>345</v>
      </c>
      <c r="AB195" s="16" t="s">
        <v>117</v>
      </c>
      <c r="AC195" s="19"/>
    </row>
    <row r="196" spans="1:29" ht="15.6" x14ac:dyDescent="0.3">
      <c r="A196" s="16">
        <v>54</v>
      </c>
      <c r="B196" s="17" t="s">
        <v>44</v>
      </c>
      <c r="C196" s="18">
        <v>48</v>
      </c>
      <c r="D196" s="18">
        <v>38</v>
      </c>
      <c r="E196" s="37">
        <f t="shared" si="30"/>
        <v>86</v>
      </c>
      <c r="F196" s="18">
        <v>37</v>
      </c>
      <c r="G196" s="18">
        <v>37</v>
      </c>
      <c r="H196" s="37">
        <f t="shared" si="31"/>
        <v>74</v>
      </c>
      <c r="I196" s="18">
        <v>40</v>
      </c>
      <c r="J196" s="18">
        <v>30</v>
      </c>
      <c r="K196" s="37">
        <f t="shared" si="32"/>
        <v>70</v>
      </c>
      <c r="L196" s="18"/>
      <c r="M196" s="18"/>
      <c r="N196" s="37"/>
      <c r="O196" s="18">
        <v>38</v>
      </c>
      <c r="P196" s="18">
        <v>30</v>
      </c>
      <c r="Q196" s="37">
        <f t="shared" si="33"/>
        <v>68</v>
      </c>
      <c r="R196" s="18"/>
      <c r="S196" s="18"/>
      <c r="T196" s="37"/>
      <c r="U196" s="18">
        <v>42</v>
      </c>
      <c r="V196" s="16">
        <v>27</v>
      </c>
      <c r="W196" s="37">
        <f t="shared" si="34"/>
        <v>69</v>
      </c>
      <c r="X196" s="19"/>
      <c r="Y196" s="19"/>
      <c r="Z196" s="19"/>
      <c r="AA196" s="33">
        <f t="shared" si="35"/>
        <v>367</v>
      </c>
      <c r="AB196" s="16" t="s">
        <v>117</v>
      </c>
      <c r="AC196" s="19"/>
    </row>
    <row r="197" spans="1:29" ht="15.6" x14ac:dyDescent="0.3">
      <c r="A197" s="16">
        <v>55</v>
      </c>
      <c r="B197" s="17" t="s">
        <v>45</v>
      </c>
      <c r="C197" s="18">
        <v>30</v>
      </c>
      <c r="D197" s="18">
        <v>40</v>
      </c>
      <c r="E197" s="37">
        <f t="shared" si="30"/>
        <v>70</v>
      </c>
      <c r="F197" s="18">
        <v>45</v>
      </c>
      <c r="G197" s="18">
        <v>45</v>
      </c>
      <c r="H197" s="37">
        <f t="shared" si="31"/>
        <v>90</v>
      </c>
      <c r="I197" s="18">
        <v>30</v>
      </c>
      <c r="J197" s="18">
        <v>40</v>
      </c>
      <c r="K197" s="37">
        <f t="shared" si="32"/>
        <v>70</v>
      </c>
      <c r="L197" s="18"/>
      <c r="M197" s="18"/>
      <c r="N197" s="37"/>
      <c r="O197" s="18">
        <v>32</v>
      </c>
      <c r="P197" s="18">
        <v>50</v>
      </c>
      <c r="Q197" s="37">
        <f t="shared" si="33"/>
        <v>82</v>
      </c>
      <c r="R197" s="18"/>
      <c r="S197" s="18"/>
      <c r="T197" s="37"/>
      <c r="U197" s="18">
        <v>37</v>
      </c>
      <c r="V197" s="16">
        <v>50</v>
      </c>
      <c r="W197" s="37">
        <f t="shared" si="34"/>
        <v>87</v>
      </c>
      <c r="X197" s="19"/>
      <c r="Y197" s="19"/>
      <c r="Z197" s="19"/>
      <c r="AA197" s="33">
        <f t="shared" si="35"/>
        <v>399</v>
      </c>
      <c r="AB197" s="16" t="s">
        <v>117</v>
      </c>
      <c r="AC197" s="19"/>
    </row>
    <row r="198" spans="1:29" ht="15.6" x14ac:dyDescent="0.3">
      <c r="A198" s="16">
        <v>56</v>
      </c>
      <c r="B198" s="17" t="s">
        <v>502</v>
      </c>
      <c r="C198" s="18">
        <v>49</v>
      </c>
      <c r="D198" s="18">
        <v>45</v>
      </c>
      <c r="E198" s="37">
        <f t="shared" si="30"/>
        <v>94</v>
      </c>
      <c r="F198" s="18">
        <v>48</v>
      </c>
      <c r="G198" s="18">
        <v>46</v>
      </c>
      <c r="H198" s="37">
        <f t="shared" si="31"/>
        <v>94</v>
      </c>
      <c r="I198" s="18">
        <v>46</v>
      </c>
      <c r="J198" s="18">
        <v>46</v>
      </c>
      <c r="K198" s="37">
        <f t="shared" si="32"/>
        <v>92</v>
      </c>
      <c r="L198" s="18"/>
      <c r="M198" s="18"/>
      <c r="N198" s="37"/>
      <c r="O198" s="18">
        <v>42</v>
      </c>
      <c r="P198" s="18">
        <v>49</v>
      </c>
      <c r="Q198" s="37">
        <f t="shared" si="33"/>
        <v>91</v>
      </c>
      <c r="R198" s="18"/>
      <c r="S198" s="18"/>
      <c r="T198" s="37"/>
      <c r="U198" s="18">
        <v>50</v>
      </c>
      <c r="V198" s="16">
        <v>39</v>
      </c>
      <c r="W198" s="37">
        <f t="shared" si="34"/>
        <v>89</v>
      </c>
      <c r="X198" s="19"/>
      <c r="Y198" s="19"/>
      <c r="Z198" s="19"/>
      <c r="AA198" s="33">
        <f t="shared" si="35"/>
        <v>460</v>
      </c>
      <c r="AB198" s="16" t="s">
        <v>117</v>
      </c>
      <c r="AC198" s="19"/>
    </row>
    <row r="199" spans="1:29" ht="15.6" x14ac:dyDescent="0.3">
      <c r="A199" s="16"/>
      <c r="B199" s="16"/>
      <c r="C199" s="18"/>
      <c r="D199" s="18"/>
      <c r="E199" s="37"/>
      <c r="F199" s="18"/>
      <c r="G199" s="18"/>
      <c r="H199" s="37"/>
      <c r="I199" s="18"/>
      <c r="J199" s="18"/>
      <c r="K199" s="37"/>
      <c r="L199" s="18"/>
      <c r="M199" s="18"/>
      <c r="N199" s="37"/>
      <c r="O199" s="18"/>
      <c r="P199" s="18"/>
      <c r="Q199" s="37"/>
      <c r="R199" s="18"/>
      <c r="S199" s="18"/>
      <c r="T199" s="37"/>
      <c r="U199" s="18"/>
      <c r="V199" s="16"/>
      <c r="W199" s="37"/>
      <c r="X199" s="19"/>
      <c r="Y199" s="19"/>
      <c r="Z199" s="19"/>
      <c r="AA199" s="37"/>
      <c r="AB199" s="16"/>
      <c r="AC199" s="19"/>
    </row>
    <row r="200" spans="1:29" ht="15.6" x14ac:dyDescent="0.3">
      <c r="A200" s="16"/>
      <c r="B200" s="16"/>
      <c r="C200" s="16"/>
      <c r="D200" s="16"/>
      <c r="E200" s="33"/>
      <c r="F200" s="16"/>
      <c r="G200" s="16"/>
      <c r="H200" s="33"/>
      <c r="I200" s="16"/>
      <c r="J200" s="16"/>
      <c r="K200" s="33"/>
      <c r="L200" s="16"/>
      <c r="M200" s="16"/>
      <c r="N200" s="33"/>
      <c r="O200" s="16"/>
      <c r="P200" s="16"/>
      <c r="Q200" s="33"/>
      <c r="R200" s="16"/>
      <c r="S200" s="16"/>
      <c r="T200" s="33"/>
      <c r="U200" s="16"/>
      <c r="V200" s="16"/>
      <c r="W200" s="37"/>
      <c r="X200" s="19"/>
      <c r="Y200" s="19"/>
      <c r="Z200" s="19"/>
      <c r="AA200" s="37"/>
      <c r="AB200" s="16"/>
      <c r="AC200" s="19"/>
    </row>
    <row r="201" spans="1:29" ht="15.6" x14ac:dyDescent="0.3">
      <c r="A201" s="16"/>
      <c r="B201" s="16"/>
      <c r="C201" s="16"/>
      <c r="D201" s="16"/>
      <c r="E201" s="33"/>
      <c r="F201" s="16"/>
      <c r="G201" s="16"/>
      <c r="H201" s="33"/>
      <c r="I201" s="16"/>
      <c r="J201" s="16"/>
      <c r="K201" s="33"/>
      <c r="L201" s="16"/>
      <c r="M201" s="16"/>
      <c r="N201" s="33"/>
      <c r="O201" s="16"/>
      <c r="P201" s="16"/>
      <c r="Q201" s="33"/>
      <c r="R201" s="16"/>
      <c r="S201" s="16"/>
      <c r="T201" s="33"/>
      <c r="U201" s="16"/>
      <c r="V201" s="16"/>
      <c r="W201" s="37"/>
      <c r="X201" s="19"/>
      <c r="Y201" s="19"/>
      <c r="Z201" s="19"/>
      <c r="AA201" s="37"/>
      <c r="AB201" s="16"/>
      <c r="AC201" s="19"/>
    </row>
    <row r="202" spans="1:29" ht="15.6" x14ac:dyDescent="0.3">
      <c r="A202" s="16"/>
      <c r="B202" s="16"/>
      <c r="C202" s="16"/>
      <c r="D202" s="16"/>
      <c r="E202" s="33"/>
      <c r="F202" s="16"/>
      <c r="G202" s="16"/>
      <c r="H202" s="33"/>
      <c r="I202" s="16"/>
      <c r="J202" s="16"/>
      <c r="K202" s="33"/>
      <c r="L202" s="16"/>
      <c r="M202" s="16"/>
      <c r="N202" s="33"/>
      <c r="O202" s="16"/>
      <c r="P202" s="16"/>
      <c r="Q202" s="33"/>
      <c r="R202" s="16"/>
      <c r="S202" s="16"/>
      <c r="T202" s="33"/>
      <c r="U202" s="16"/>
      <c r="V202" s="16"/>
      <c r="W202" s="37"/>
      <c r="X202" s="19"/>
      <c r="Y202" s="19"/>
      <c r="Z202" s="19"/>
      <c r="AA202" s="37"/>
      <c r="AB202" s="16"/>
      <c r="AC202" s="19"/>
    </row>
    <row r="203" spans="1:29" x14ac:dyDescent="0.25">
      <c r="A203" s="22" t="s">
        <v>115</v>
      </c>
      <c r="B203" s="22"/>
      <c r="C203" s="22"/>
      <c r="D203" s="22"/>
      <c r="E203" s="22"/>
      <c r="F203" s="22"/>
      <c r="G203" s="22" t="s">
        <v>468</v>
      </c>
      <c r="H203" s="22"/>
      <c r="I203" s="22"/>
      <c r="J203" s="22"/>
      <c r="K203" s="22"/>
      <c r="L203" s="22"/>
      <c r="M203" s="22"/>
      <c r="N203" s="22"/>
      <c r="O203" s="22" t="s">
        <v>82</v>
      </c>
      <c r="P203" s="22"/>
      <c r="Q203" s="22"/>
      <c r="R203" s="22"/>
      <c r="S203" s="22"/>
      <c r="T203" s="22"/>
      <c r="U203" s="22" t="s">
        <v>83</v>
      </c>
      <c r="V203" s="22"/>
      <c r="W203" s="22"/>
      <c r="X203" s="22"/>
      <c r="Y203" s="22"/>
      <c r="Z203" s="22"/>
      <c r="AA203" s="22"/>
      <c r="AB203" s="22" t="s">
        <v>84</v>
      </c>
      <c r="AC203" s="22"/>
    </row>
    <row r="204" spans="1:29" x14ac:dyDescent="0.25">
      <c r="A204" s="22" t="s">
        <v>89</v>
      </c>
      <c r="B204" s="22"/>
      <c r="C204" s="22"/>
      <c r="D204" s="22"/>
      <c r="E204" s="22"/>
      <c r="F204" s="22" t="s">
        <v>90</v>
      </c>
      <c r="G204" s="22"/>
      <c r="H204" s="22"/>
      <c r="I204" s="22"/>
      <c r="J204" s="22"/>
      <c r="K204" s="22"/>
      <c r="L204" s="22"/>
      <c r="M204" s="22"/>
      <c r="N204" s="22" t="s">
        <v>462</v>
      </c>
      <c r="O204" s="22"/>
      <c r="P204" s="22"/>
      <c r="Q204" s="22"/>
      <c r="R204" s="22"/>
      <c r="S204" s="22"/>
      <c r="T204" s="22" t="s">
        <v>463</v>
      </c>
      <c r="U204" s="22"/>
      <c r="V204" s="22"/>
      <c r="W204" s="22"/>
      <c r="X204" s="22"/>
      <c r="Y204" s="22"/>
      <c r="Z204" s="22"/>
      <c r="AA204" s="22"/>
      <c r="AB204" s="22" t="s">
        <v>85</v>
      </c>
      <c r="AC204" s="22"/>
    </row>
    <row r="205" spans="1:29" x14ac:dyDescent="0.25">
      <c r="A205" s="22" t="s">
        <v>466</v>
      </c>
      <c r="B205" s="22"/>
      <c r="C205" s="22"/>
      <c r="D205" s="22"/>
      <c r="E205" s="22"/>
      <c r="F205" s="22" t="s">
        <v>91</v>
      </c>
      <c r="G205" s="22"/>
      <c r="H205" s="22"/>
      <c r="I205" s="22"/>
      <c r="J205" s="22"/>
      <c r="K205" s="22"/>
      <c r="L205" s="22"/>
      <c r="M205" s="22"/>
      <c r="N205" s="22" t="s">
        <v>94</v>
      </c>
      <c r="O205" s="22"/>
      <c r="P205" s="22"/>
      <c r="Q205" s="22"/>
      <c r="R205" s="22"/>
      <c r="S205" s="22"/>
      <c r="T205" s="22" t="s">
        <v>97</v>
      </c>
      <c r="U205" s="22"/>
      <c r="V205" s="22"/>
      <c r="W205" s="22"/>
      <c r="X205" s="22"/>
      <c r="Y205" s="22"/>
      <c r="Z205" s="22"/>
      <c r="AA205" s="22"/>
      <c r="AB205" s="22" t="s">
        <v>99</v>
      </c>
      <c r="AC205" s="22"/>
    </row>
    <row r="206" spans="1:29" x14ac:dyDescent="0.25">
      <c r="A206" s="22" t="s">
        <v>89</v>
      </c>
      <c r="B206" s="22"/>
      <c r="C206" s="22"/>
      <c r="D206" s="22"/>
      <c r="E206" s="22"/>
      <c r="F206" s="22" t="s">
        <v>92</v>
      </c>
      <c r="G206" s="22"/>
      <c r="H206" s="22"/>
      <c r="I206" s="22"/>
      <c r="J206" s="22"/>
      <c r="K206" s="22"/>
      <c r="L206" s="22"/>
      <c r="M206" s="22"/>
      <c r="N206" s="22" t="s">
        <v>95</v>
      </c>
      <c r="O206" s="22"/>
      <c r="P206" s="22"/>
      <c r="Q206" s="22"/>
      <c r="R206" s="22"/>
      <c r="S206" s="22"/>
      <c r="T206" s="22" t="s">
        <v>98</v>
      </c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39"/>
      <c r="X207" s="23"/>
      <c r="Y207" s="23"/>
      <c r="Z207" s="23"/>
      <c r="AA207" s="39"/>
      <c r="AB207" s="23"/>
      <c r="AC207" s="23"/>
    </row>
    <row r="208" spans="1:29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39"/>
      <c r="X208" s="23"/>
      <c r="Y208" s="23"/>
      <c r="Z208" s="23"/>
      <c r="AA208" s="39"/>
      <c r="AB208" s="23"/>
      <c r="AC208" s="23"/>
    </row>
    <row r="209" spans="1:29" ht="15.6" x14ac:dyDescent="0.3">
      <c r="A209" s="23"/>
      <c r="B209" s="24" t="s">
        <v>494</v>
      </c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 t="s">
        <v>467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25" t="s">
        <v>456</v>
      </c>
      <c r="X209" s="12"/>
      <c r="Y209" s="12"/>
      <c r="Z209" s="12"/>
      <c r="AA209" s="25"/>
      <c r="AB209" s="25"/>
      <c r="AC209" s="12"/>
    </row>
    <row r="210" spans="1:29" ht="15.6" x14ac:dyDescent="0.3">
      <c r="A210" s="23"/>
      <c r="B210" s="24" t="s">
        <v>81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25" t="s">
        <v>100</v>
      </c>
      <c r="X210" s="25"/>
      <c r="Y210" s="12"/>
      <c r="Z210" s="12"/>
      <c r="AA210" s="25"/>
      <c r="AB210" s="25"/>
      <c r="AC210" s="25"/>
    </row>
    <row r="211" spans="1:29" ht="15.6" x14ac:dyDescent="0.3">
      <c r="A211" s="23"/>
      <c r="B211" s="24" t="s">
        <v>459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25" t="s">
        <v>106</v>
      </c>
      <c r="X211" s="25"/>
      <c r="Y211" s="12"/>
      <c r="Z211" s="12"/>
      <c r="AA211" s="25"/>
      <c r="AB211" s="25"/>
      <c r="AC211" s="25"/>
    </row>
    <row r="212" spans="1:29" ht="15.6" x14ac:dyDescent="0.3">
      <c r="A212" s="23"/>
      <c r="B212" s="24" t="s">
        <v>460</v>
      </c>
      <c r="C212" s="12"/>
      <c r="D212" s="12"/>
      <c r="E212" s="12"/>
      <c r="F212" s="12"/>
      <c r="G212" s="12"/>
      <c r="H212" s="12"/>
      <c r="I212" s="12"/>
      <c r="J212" s="12"/>
      <c r="K212" s="25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25" t="s">
        <v>107</v>
      </c>
      <c r="X212" s="25"/>
      <c r="Y212" s="12"/>
      <c r="Z212" s="12"/>
      <c r="AA212" s="25"/>
      <c r="AB212" s="25"/>
      <c r="AC212" s="25"/>
    </row>
    <row r="213" spans="1:29" ht="15.6" x14ac:dyDescent="0.3">
      <c r="A213" s="2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25" t="s">
        <v>86</v>
      </c>
      <c r="X213" s="25"/>
      <c r="Y213" s="12"/>
      <c r="Z213" s="12">
        <v>1</v>
      </c>
      <c r="AA213" s="25"/>
      <c r="AB213" s="25"/>
      <c r="AC213" s="25"/>
    </row>
    <row r="214" spans="1:29" ht="15.6" x14ac:dyDescent="0.3">
      <c r="A214" s="23"/>
      <c r="B214" s="12"/>
      <c r="C214" s="25" t="s">
        <v>482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25"/>
      <c r="X214" s="25"/>
      <c r="Y214" s="12"/>
      <c r="Z214" s="12"/>
      <c r="AA214" s="25"/>
      <c r="AB214" s="25"/>
      <c r="AC214" s="25"/>
    </row>
    <row r="215" spans="1:29" ht="15.6" x14ac:dyDescent="0.3">
      <c r="A215" s="63" t="s">
        <v>0</v>
      </c>
      <c r="B215" s="38" t="s">
        <v>469</v>
      </c>
      <c r="C215" s="60" t="s">
        <v>457</v>
      </c>
      <c r="D215" s="61"/>
      <c r="E215" s="62"/>
      <c r="F215" s="60" t="s">
        <v>1</v>
      </c>
      <c r="G215" s="61"/>
      <c r="H215" s="62"/>
      <c r="I215" s="60" t="s">
        <v>2</v>
      </c>
      <c r="J215" s="61"/>
      <c r="K215" s="62"/>
      <c r="L215" s="60" t="s">
        <v>8</v>
      </c>
      <c r="M215" s="61"/>
      <c r="N215" s="62"/>
      <c r="O215" s="60" t="s">
        <v>3</v>
      </c>
      <c r="P215" s="61"/>
      <c r="Q215" s="62"/>
      <c r="R215" s="31"/>
      <c r="S215" s="31" t="s">
        <v>4</v>
      </c>
      <c r="T215" s="31"/>
      <c r="U215" s="60" t="s">
        <v>5</v>
      </c>
      <c r="V215" s="61"/>
      <c r="W215" s="62"/>
      <c r="X215" s="57" t="s">
        <v>16</v>
      </c>
      <c r="Y215" s="57" t="s">
        <v>17</v>
      </c>
      <c r="Z215" s="57" t="s">
        <v>18</v>
      </c>
      <c r="AA215" s="57" t="s">
        <v>19</v>
      </c>
      <c r="AB215" s="57" t="s">
        <v>20</v>
      </c>
      <c r="AC215" s="57" t="s">
        <v>21</v>
      </c>
    </row>
    <row r="216" spans="1:29" ht="55.2" x14ac:dyDescent="0.25">
      <c r="A216" s="64"/>
      <c r="B216" s="35" t="s">
        <v>470</v>
      </c>
      <c r="C216" s="32" t="s">
        <v>6</v>
      </c>
      <c r="D216" s="32" t="s">
        <v>461</v>
      </c>
      <c r="E216" s="32" t="s">
        <v>7</v>
      </c>
      <c r="F216" s="32" t="s">
        <v>6</v>
      </c>
      <c r="G216" s="32" t="s">
        <v>461</v>
      </c>
      <c r="H216" s="32" t="s">
        <v>7</v>
      </c>
      <c r="I216" s="32" t="s">
        <v>6</v>
      </c>
      <c r="J216" s="32" t="s">
        <v>461</v>
      </c>
      <c r="K216" s="32" t="s">
        <v>7</v>
      </c>
      <c r="L216" s="32" t="s">
        <v>6</v>
      </c>
      <c r="M216" s="32" t="s">
        <v>461</v>
      </c>
      <c r="N216" s="32" t="s">
        <v>7</v>
      </c>
      <c r="O216" s="32" t="s">
        <v>6</v>
      </c>
      <c r="P216" s="32" t="s">
        <v>461</v>
      </c>
      <c r="Q216" s="32" t="s">
        <v>7</v>
      </c>
      <c r="R216" s="32" t="s">
        <v>6</v>
      </c>
      <c r="S216" s="32" t="s">
        <v>461</v>
      </c>
      <c r="T216" s="32" t="s">
        <v>7</v>
      </c>
      <c r="U216" s="32" t="s">
        <v>6</v>
      </c>
      <c r="V216" s="32" t="s">
        <v>461</v>
      </c>
      <c r="W216" s="32" t="s">
        <v>7</v>
      </c>
      <c r="X216" s="58"/>
      <c r="Y216" s="58"/>
      <c r="Z216" s="58"/>
      <c r="AA216" s="58"/>
      <c r="AB216" s="58"/>
      <c r="AC216" s="58"/>
    </row>
    <row r="217" spans="1:29" ht="15.6" x14ac:dyDescent="0.3">
      <c r="A217" s="65"/>
      <c r="B217" s="36"/>
      <c r="C217" s="33">
        <v>50</v>
      </c>
      <c r="D217" s="33">
        <v>50</v>
      </c>
      <c r="E217" s="33">
        <v>100</v>
      </c>
      <c r="F217" s="33">
        <v>50</v>
      </c>
      <c r="G217" s="33">
        <v>50</v>
      </c>
      <c r="H217" s="33">
        <v>100</v>
      </c>
      <c r="I217" s="33">
        <v>50</v>
      </c>
      <c r="J217" s="33">
        <v>50</v>
      </c>
      <c r="K217" s="33">
        <v>100</v>
      </c>
      <c r="L217" s="33">
        <v>50</v>
      </c>
      <c r="M217" s="33">
        <v>50</v>
      </c>
      <c r="N217" s="33">
        <v>100</v>
      </c>
      <c r="O217" s="33">
        <v>50</v>
      </c>
      <c r="P217" s="33">
        <v>50</v>
      </c>
      <c r="Q217" s="33">
        <v>100</v>
      </c>
      <c r="R217" s="33">
        <v>50</v>
      </c>
      <c r="S217" s="33">
        <v>50</v>
      </c>
      <c r="T217" s="33">
        <v>100</v>
      </c>
      <c r="U217" s="33">
        <v>50</v>
      </c>
      <c r="V217" s="33">
        <v>50</v>
      </c>
      <c r="W217" s="33">
        <v>100</v>
      </c>
      <c r="X217" s="59"/>
      <c r="Y217" s="59"/>
      <c r="Z217" s="59"/>
      <c r="AA217" s="59"/>
      <c r="AB217" s="59"/>
      <c r="AC217" s="59"/>
    </row>
    <row r="218" spans="1:29" ht="15.6" x14ac:dyDescent="0.3">
      <c r="A218" s="13">
        <v>1</v>
      </c>
      <c r="B218" s="17" t="s">
        <v>52</v>
      </c>
      <c r="C218" s="16">
        <v>16</v>
      </c>
      <c r="D218" s="16"/>
      <c r="E218" s="33">
        <f t="shared" ref="E218:E223" si="36">SUM(C218:D218)</f>
        <v>16</v>
      </c>
      <c r="F218" s="16">
        <v>16</v>
      </c>
      <c r="G218" s="16"/>
      <c r="H218" s="33">
        <f t="shared" ref="H218:H223" si="37">SUM(F218:G218)</f>
        <v>16</v>
      </c>
      <c r="I218" s="16">
        <v>15</v>
      </c>
      <c r="J218" s="16"/>
      <c r="K218" s="33">
        <f t="shared" ref="K218:K223" si="38">SUM(I218:J218)</f>
        <v>15</v>
      </c>
      <c r="L218" s="16"/>
      <c r="M218" s="16"/>
      <c r="N218" s="33"/>
      <c r="O218" s="16"/>
      <c r="P218" s="16">
        <v>12</v>
      </c>
      <c r="Q218" s="33">
        <f t="shared" ref="Q218:Q223" si="39">SUM(O218:P218)</f>
        <v>12</v>
      </c>
      <c r="R218" s="16"/>
      <c r="S218" s="16"/>
      <c r="T218" s="33"/>
      <c r="U218" s="16"/>
      <c r="V218" s="16">
        <v>14</v>
      </c>
      <c r="W218" s="33">
        <f t="shared" ref="W218:W223" si="40">SUM(U218:V218)</f>
        <v>14</v>
      </c>
      <c r="X218" s="20"/>
      <c r="Y218" s="20"/>
      <c r="Z218" s="20"/>
      <c r="AA218" s="33">
        <f t="shared" ref="AA218:AA223" si="41">SUM(W218,Q218,K218,H218,E218)</f>
        <v>73</v>
      </c>
      <c r="AB218" s="16" t="s">
        <v>105</v>
      </c>
      <c r="AC218" s="19"/>
    </row>
    <row r="219" spans="1:29" ht="15.6" x14ac:dyDescent="0.3">
      <c r="A219" s="13">
        <v>2</v>
      </c>
      <c r="B219" s="17" t="s">
        <v>13</v>
      </c>
      <c r="C219" s="16">
        <v>20</v>
      </c>
      <c r="D219" s="16"/>
      <c r="E219" s="33">
        <f t="shared" si="36"/>
        <v>20</v>
      </c>
      <c r="F219" s="16">
        <v>20</v>
      </c>
      <c r="G219" s="16"/>
      <c r="H219" s="33">
        <f t="shared" si="37"/>
        <v>20</v>
      </c>
      <c r="I219" s="16">
        <v>31</v>
      </c>
      <c r="J219" s="16"/>
      <c r="K219" s="33">
        <f t="shared" si="38"/>
        <v>31</v>
      </c>
      <c r="L219" s="16"/>
      <c r="M219" s="16"/>
      <c r="N219" s="33"/>
      <c r="O219" s="16">
        <v>21</v>
      </c>
      <c r="P219" s="16"/>
      <c r="Q219" s="33">
        <f t="shared" si="39"/>
        <v>21</v>
      </c>
      <c r="R219" s="16"/>
      <c r="S219" s="16"/>
      <c r="T219" s="33"/>
      <c r="U219" s="16">
        <v>21</v>
      </c>
      <c r="V219" s="16"/>
      <c r="W219" s="33">
        <f t="shared" si="40"/>
        <v>21</v>
      </c>
      <c r="X219" s="20"/>
      <c r="Y219" s="20"/>
      <c r="Z219" s="20"/>
      <c r="AA219" s="33">
        <f t="shared" si="41"/>
        <v>113</v>
      </c>
      <c r="AB219" s="16" t="s">
        <v>105</v>
      </c>
      <c r="AC219" s="19"/>
    </row>
    <row r="220" spans="1:29" ht="15.6" x14ac:dyDescent="0.3">
      <c r="A220" s="13">
        <v>3</v>
      </c>
      <c r="B220" s="17" t="s">
        <v>58</v>
      </c>
      <c r="C220" s="16">
        <v>44</v>
      </c>
      <c r="D220" s="16"/>
      <c r="E220" s="33">
        <f t="shared" si="36"/>
        <v>44</v>
      </c>
      <c r="F220" s="16">
        <v>43</v>
      </c>
      <c r="G220" s="16"/>
      <c r="H220" s="33">
        <f t="shared" si="37"/>
        <v>43</v>
      </c>
      <c r="I220" s="16">
        <v>25</v>
      </c>
      <c r="J220" s="16"/>
      <c r="K220" s="33">
        <f t="shared" si="38"/>
        <v>25</v>
      </c>
      <c r="L220" s="16"/>
      <c r="M220" s="16"/>
      <c r="N220" s="33"/>
      <c r="O220" s="16"/>
      <c r="P220" s="16">
        <v>36</v>
      </c>
      <c r="Q220" s="33">
        <f t="shared" si="39"/>
        <v>36</v>
      </c>
      <c r="R220" s="16"/>
      <c r="S220" s="16"/>
      <c r="T220" s="33"/>
      <c r="U220" s="16"/>
      <c r="V220" s="16">
        <v>48</v>
      </c>
      <c r="W220" s="33">
        <f t="shared" si="40"/>
        <v>48</v>
      </c>
      <c r="X220" s="20"/>
      <c r="Y220" s="20"/>
      <c r="Z220" s="20"/>
      <c r="AA220" s="33">
        <f t="shared" si="41"/>
        <v>196</v>
      </c>
      <c r="AB220" s="16" t="s">
        <v>105</v>
      </c>
      <c r="AC220" s="19"/>
    </row>
    <row r="221" spans="1:29" ht="15.6" x14ac:dyDescent="0.3">
      <c r="A221" s="13">
        <v>4</v>
      </c>
      <c r="B221" s="17" t="s">
        <v>74</v>
      </c>
      <c r="C221" s="16">
        <v>17</v>
      </c>
      <c r="D221" s="16"/>
      <c r="E221" s="33">
        <f t="shared" si="36"/>
        <v>17</v>
      </c>
      <c r="F221" s="16">
        <v>15</v>
      </c>
      <c r="G221" s="16"/>
      <c r="H221" s="33">
        <f t="shared" si="37"/>
        <v>15</v>
      </c>
      <c r="I221" s="16">
        <v>16</v>
      </c>
      <c r="J221" s="16"/>
      <c r="K221" s="33">
        <f t="shared" si="38"/>
        <v>16</v>
      </c>
      <c r="L221" s="16"/>
      <c r="M221" s="16"/>
      <c r="N221" s="33"/>
      <c r="O221" s="16"/>
      <c r="P221" s="16">
        <v>17</v>
      </c>
      <c r="Q221" s="33">
        <f t="shared" si="39"/>
        <v>17</v>
      </c>
      <c r="R221" s="16"/>
      <c r="S221" s="16"/>
      <c r="T221" s="33"/>
      <c r="U221" s="16"/>
      <c r="V221" s="16">
        <v>14</v>
      </c>
      <c r="W221" s="33">
        <f t="shared" si="40"/>
        <v>14</v>
      </c>
      <c r="X221" s="20"/>
      <c r="Y221" s="20"/>
      <c r="Z221" s="20"/>
      <c r="AA221" s="33">
        <f t="shared" si="41"/>
        <v>79</v>
      </c>
      <c r="AB221" s="16" t="s">
        <v>105</v>
      </c>
      <c r="AC221" s="19"/>
    </row>
    <row r="222" spans="1:29" ht="15.6" x14ac:dyDescent="0.3">
      <c r="A222" s="13">
        <v>5</v>
      </c>
      <c r="B222" s="17" t="s">
        <v>75</v>
      </c>
      <c r="C222" s="16">
        <v>44</v>
      </c>
      <c r="D222" s="16"/>
      <c r="E222" s="33">
        <f t="shared" si="36"/>
        <v>44</v>
      </c>
      <c r="F222" s="16">
        <v>41</v>
      </c>
      <c r="G222" s="16"/>
      <c r="H222" s="33">
        <f t="shared" si="37"/>
        <v>41</v>
      </c>
      <c r="I222" s="16">
        <v>26</v>
      </c>
      <c r="J222" s="16"/>
      <c r="K222" s="33">
        <f t="shared" si="38"/>
        <v>26</v>
      </c>
      <c r="L222" s="16"/>
      <c r="M222" s="16"/>
      <c r="N222" s="33"/>
      <c r="O222" s="16"/>
      <c r="P222" s="16">
        <v>35</v>
      </c>
      <c r="Q222" s="33">
        <f t="shared" si="39"/>
        <v>35</v>
      </c>
      <c r="R222" s="16"/>
      <c r="S222" s="16"/>
      <c r="T222" s="33"/>
      <c r="U222" s="16"/>
      <c r="V222" s="16">
        <v>49</v>
      </c>
      <c r="W222" s="33">
        <f t="shared" si="40"/>
        <v>49</v>
      </c>
      <c r="X222" s="20"/>
      <c r="Y222" s="20"/>
      <c r="Z222" s="20"/>
      <c r="AA222" s="33">
        <f t="shared" si="41"/>
        <v>195</v>
      </c>
      <c r="AB222" s="16" t="s">
        <v>105</v>
      </c>
      <c r="AC222" s="19"/>
    </row>
    <row r="223" spans="1:29" ht="15.6" x14ac:dyDescent="0.3">
      <c r="A223" s="13">
        <v>6</v>
      </c>
      <c r="B223" s="17" t="s">
        <v>39</v>
      </c>
      <c r="C223" s="16">
        <v>25</v>
      </c>
      <c r="D223" s="16"/>
      <c r="E223" s="33">
        <f t="shared" si="36"/>
        <v>25</v>
      </c>
      <c r="F223" s="16">
        <v>21</v>
      </c>
      <c r="G223" s="16"/>
      <c r="H223" s="33">
        <f t="shared" si="37"/>
        <v>21</v>
      </c>
      <c r="I223" s="16">
        <v>26</v>
      </c>
      <c r="J223" s="16"/>
      <c r="K223" s="33">
        <f t="shared" si="38"/>
        <v>26</v>
      </c>
      <c r="L223" s="16"/>
      <c r="M223" s="16"/>
      <c r="N223" s="33"/>
      <c r="O223" s="16">
        <v>17</v>
      </c>
      <c r="P223" s="16"/>
      <c r="Q223" s="33">
        <f t="shared" si="39"/>
        <v>17</v>
      </c>
      <c r="R223" s="16"/>
      <c r="S223" s="16"/>
      <c r="T223" s="33"/>
      <c r="U223" s="16">
        <v>21</v>
      </c>
      <c r="V223" s="16"/>
      <c r="W223" s="33">
        <f t="shared" si="40"/>
        <v>21</v>
      </c>
      <c r="X223" s="20"/>
      <c r="Y223" s="20"/>
      <c r="Z223" s="20"/>
      <c r="AA223" s="33">
        <f t="shared" si="41"/>
        <v>110</v>
      </c>
      <c r="AB223" s="16" t="s">
        <v>105</v>
      </c>
      <c r="AC223" s="19"/>
    </row>
    <row r="224" spans="1:29" ht="15.6" x14ac:dyDescent="0.3">
      <c r="A224" s="13">
        <v>7</v>
      </c>
      <c r="B224" s="16"/>
      <c r="C224" s="16"/>
      <c r="D224" s="16"/>
      <c r="E224" s="33"/>
      <c r="F224" s="16"/>
      <c r="G224" s="16"/>
      <c r="H224" s="33"/>
      <c r="I224" s="16"/>
      <c r="J224" s="16"/>
      <c r="K224" s="33"/>
      <c r="L224" s="16"/>
      <c r="M224" s="16"/>
      <c r="N224" s="33"/>
      <c r="O224" s="16"/>
      <c r="P224" s="16"/>
      <c r="Q224" s="33"/>
      <c r="R224" s="16"/>
      <c r="S224" s="16"/>
      <c r="T224" s="33"/>
      <c r="U224" s="16"/>
      <c r="V224" s="16"/>
      <c r="W224" s="37"/>
      <c r="X224" s="19"/>
      <c r="Y224" s="19"/>
      <c r="Z224" s="19"/>
      <c r="AA224" s="37"/>
      <c r="AB224" s="20"/>
      <c r="AC224" s="19"/>
    </row>
    <row r="225" spans="1:29" ht="15.6" x14ac:dyDescent="0.3">
      <c r="A225" s="13">
        <v>8</v>
      </c>
      <c r="B225" s="16"/>
      <c r="C225" s="16"/>
      <c r="D225" s="16"/>
      <c r="E225" s="33"/>
      <c r="F225" s="16"/>
      <c r="G225" s="16"/>
      <c r="H225" s="33"/>
      <c r="I225" s="16"/>
      <c r="J225" s="16"/>
      <c r="K225" s="33"/>
      <c r="L225" s="16"/>
      <c r="M225" s="16"/>
      <c r="N225" s="33"/>
      <c r="O225" s="16"/>
      <c r="P225" s="16"/>
      <c r="Q225" s="33"/>
      <c r="R225" s="16"/>
      <c r="S225" s="16"/>
      <c r="T225" s="33"/>
      <c r="U225" s="16"/>
      <c r="V225" s="16"/>
      <c r="W225" s="37"/>
      <c r="X225" s="19"/>
      <c r="Y225" s="19"/>
      <c r="Z225" s="19"/>
      <c r="AA225" s="37"/>
      <c r="AB225" s="19"/>
      <c r="AC225" s="19"/>
    </row>
    <row r="226" spans="1:29" ht="15.6" x14ac:dyDescent="0.3">
      <c r="A226" s="13">
        <v>9</v>
      </c>
      <c r="B226" s="16"/>
      <c r="C226" s="16"/>
      <c r="D226" s="16"/>
      <c r="E226" s="33"/>
      <c r="F226" s="16"/>
      <c r="G226" s="16"/>
      <c r="H226" s="33"/>
      <c r="I226" s="16"/>
      <c r="J226" s="16"/>
      <c r="K226" s="33"/>
      <c r="L226" s="16"/>
      <c r="M226" s="16"/>
      <c r="N226" s="33"/>
      <c r="O226" s="16"/>
      <c r="P226" s="16"/>
      <c r="Q226" s="33"/>
      <c r="R226" s="16"/>
      <c r="S226" s="16"/>
      <c r="T226" s="33"/>
      <c r="U226" s="16"/>
      <c r="V226" s="16"/>
      <c r="W226" s="37"/>
      <c r="X226" s="19"/>
      <c r="Y226" s="19"/>
      <c r="Z226" s="19"/>
      <c r="AA226" s="37"/>
      <c r="AB226" s="19"/>
      <c r="AC226" s="19"/>
    </row>
    <row r="227" spans="1:29" ht="15.6" x14ac:dyDescent="0.3">
      <c r="A227" s="13">
        <v>10</v>
      </c>
      <c r="B227" s="17"/>
      <c r="C227" s="16"/>
      <c r="D227" s="16"/>
      <c r="E227" s="33"/>
      <c r="F227" s="16"/>
      <c r="G227" s="16"/>
      <c r="H227" s="33"/>
      <c r="I227" s="16"/>
      <c r="J227" s="16"/>
      <c r="K227" s="33"/>
      <c r="L227" s="16"/>
      <c r="M227" s="16"/>
      <c r="N227" s="33"/>
      <c r="O227" s="16"/>
      <c r="P227" s="16"/>
      <c r="Q227" s="33"/>
      <c r="R227" s="16"/>
      <c r="S227" s="16"/>
      <c r="T227" s="33"/>
      <c r="U227" s="16"/>
      <c r="V227" s="16"/>
      <c r="W227" s="37"/>
      <c r="X227" s="19"/>
      <c r="Y227" s="19"/>
      <c r="Z227" s="19"/>
      <c r="AA227" s="37"/>
      <c r="AB227" s="19"/>
      <c r="AC227" s="19"/>
    </row>
    <row r="228" spans="1:29" ht="15.6" x14ac:dyDescent="0.3">
      <c r="A228" s="13">
        <v>11</v>
      </c>
      <c r="B228" s="17"/>
      <c r="C228" s="16"/>
      <c r="D228" s="16"/>
      <c r="E228" s="33"/>
      <c r="F228" s="16"/>
      <c r="G228" s="16"/>
      <c r="H228" s="33"/>
      <c r="I228" s="16"/>
      <c r="J228" s="16"/>
      <c r="K228" s="33"/>
      <c r="L228" s="16"/>
      <c r="M228" s="16"/>
      <c r="N228" s="33"/>
      <c r="O228" s="16"/>
      <c r="P228" s="16"/>
      <c r="Q228" s="33"/>
      <c r="R228" s="16"/>
      <c r="S228" s="16"/>
      <c r="T228" s="33"/>
      <c r="U228" s="16"/>
      <c r="V228" s="16"/>
      <c r="W228" s="37"/>
      <c r="X228" s="19"/>
      <c r="Y228" s="19"/>
      <c r="Z228" s="19"/>
      <c r="AA228" s="37"/>
      <c r="AB228" s="19"/>
      <c r="AC228" s="19"/>
    </row>
    <row r="229" spans="1:29" ht="15.6" x14ac:dyDescent="0.3">
      <c r="A229" s="13">
        <v>12</v>
      </c>
      <c r="B229" s="17"/>
      <c r="C229" s="16"/>
      <c r="D229" s="16"/>
      <c r="E229" s="33"/>
      <c r="F229" s="16"/>
      <c r="G229" s="16"/>
      <c r="H229" s="33"/>
      <c r="I229" s="16"/>
      <c r="J229" s="16"/>
      <c r="K229" s="33"/>
      <c r="L229" s="16"/>
      <c r="M229" s="16"/>
      <c r="N229" s="33"/>
      <c r="O229" s="16"/>
      <c r="P229" s="16"/>
      <c r="Q229" s="33"/>
      <c r="R229" s="16"/>
      <c r="S229" s="16"/>
      <c r="T229" s="33"/>
      <c r="U229" s="16"/>
      <c r="V229" s="16"/>
      <c r="W229" s="37"/>
      <c r="X229" s="19"/>
      <c r="Y229" s="19"/>
      <c r="Z229" s="19"/>
      <c r="AA229" s="37"/>
      <c r="AB229" s="19"/>
      <c r="AC229" s="19"/>
    </row>
    <row r="230" spans="1:29" ht="15.6" x14ac:dyDescent="0.3">
      <c r="A230" s="13">
        <v>13</v>
      </c>
      <c r="B230" s="17"/>
      <c r="C230" s="16"/>
      <c r="D230" s="16"/>
      <c r="E230" s="33"/>
      <c r="F230" s="16"/>
      <c r="G230" s="16"/>
      <c r="H230" s="33"/>
      <c r="I230" s="16"/>
      <c r="J230" s="16"/>
      <c r="K230" s="33"/>
      <c r="L230" s="16"/>
      <c r="M230" s="16"/>
      <c r="N230" s="33"/>
      <c r="O230" s="16"/>
      <c r="P230" s="16"/>
      <c r="Q230" s="33"/>
      <c r="R230" s="16"/>
      <c r="S230" s="16"/>
      <c r="T230" s="33"/>
      <c r="U230" s="16"/>
      <c r="V230" s="16"/>
      <c r="W230" s="37"/>
      <c r="X230" s="19"/>
      <c r="Y230" s="19"/>
      <c r="Z230" s="19"/>
      <c r="AA230" s="37"/>
      <c r="AB230" s="19"/>
      <c r="AC230" s="19"/>
    </row>
    <row r="231" spans="1:29" ht="15.6" x14ac:dyDescent="0.3">
      <c r="A231" s="13">
        <v>14</v>
      </c>
      <c r="B231" s="17"/>
      <c r="C231" s="16"/>
      <c r="D231" s="16"/>
      <c r="E231" s="33"/>
      <c r="F231" s="16"/>
      <c r="G231" s="16"/>
      <c r="H231" s="33"/>
      <c r="I231" s="16"/>
      <c r="J231" s="16"/>
      <c r="K231" s="33"/>
      <c r="L231" s="16"/>
      <c r="M231" s="16"/>
      <c r="N231" s="33"/>
      <c r="O231" s="16"/>
      <c r="P231" s="16"/>
      <c r="Q231" s="33"/>
      <c r="R231" s="16"/>
      <c r="S231" s="16"/>
      <c r="T231" s="33"/>
      <c r="U231" s="16"/>
      <c r="V231" s="16"/>
      <c r="W231" s="37"/>
      <c r="X231" s="19"/>
      <c r="Y231" s="19"/>
      <c r="Z231" s="19"/>
      <c r="AA231" s="37"/>
      <c r="AB231" s="19"/>
      <c r="AC231" s="19"/>
    </row>
    <row r="232" spans="1:29" ht="15.6" x14ac:dyDescent="0.3">
      <c r="A232" s="13">
        <v>15</v>
      </c>
      <c r="B232" s="17"/>
      <c r="C232" s="16"/>
      <c r="D232" s="16"/>
      <c r="E232" s="33"/>
      <c r="F232" s="16"/>
      <c r="G232" s="16"/>
      <c r="H232" s="33"/>
      <c r="I232" s="16"/>
      <c r="J232" s="16"/>
      <c r="K232" s="33"/>
      <c r="L232" s="16"/>
      <c r="M232" s="16"/>
      <c r="N232" s="33"/>
      <c r="O232" s="16"/>
      <c r="P232" s="16"/>
      <c r="Q232" s="33"/>
      <c r="R232" s="16"/>
      <c r="S232" s="16"/>
      <c r="T232" s="33"/>
      <c r="U232" s="16"/>
      <c r="V232" s="16"/>
      <c r="W232" s="37"/>
      <c r="X232" s="19"/>
      <c r="Y232" s="19"/>
      <c r="Z232" s="19"/>
      <c r="AA232" s="37"/>
      <c r="AB232" s="19"/>
      <c r="AC232" s="19"/>
    </row>
    <row r="233" spans="1:29" ht="15.6" x14ac:dyDescent="0.3">
      <c r="A233" s="13">
        <v>16</v>
      </c>
      <c r="B233" s="16"/>
      <c r="C233" s="16"/>
      <c r="D233" s="16"/>
      <c r="E233" s="33"/>
      <c r="F233" s="16"/>
      <c r="G233" s="16"/>
      <c r="H233" s="33"/>
      <c r="I233" s="16"/>
      <c r="J233" s="16"/>
      <c r="K233" s="33"/>
      <c r="L233" s="16"/>
      <c r="M233" s="16"/>
      <c r="N233" s="33"/>
      <c r="O233" s="16"/>
      <c r="P233" s="16"/>
      <c r="Q233" s="33"/>
      <c r="R233" s="16"/>
      <c r="S233" s="16"/>
      <c r="T233" s="33"/>
      <c r="U233" s="16"/>
      <c r="V233" s="16"/>
      <c r="W233" s="37"/>
      <c r="X233" s="19"/>
      <c r="Y233" s="19"/>
      <c r="Z233" s="19"/>
      <c r="AA233" s="37"/>
      <c r="AB233" s="19"/>
      <c r="AC233" s="19"/>
    </row>
    <row r="234" spans="1:29" ht="15.6" x14ac:dyDescent="0.3">
      <c r="A234" s="13">
        <v>17</v>
      </c>
      <c r="B234" s="16"/>
      <c r="C234" s="16"/>
      <c r="D234" s="16"/>
      <c r="E234" s="33"/>
      <c r="F234" s="16"/>
      <c r="G234" s="16"/>
      <c r="H234" s="33"/>
      <c r="I234" s="16"/>
      <c r="J234" s="16"/>
      <c r="K234" s="33"/>
      <c r="L234" s="16"/>
      <c r="M234" s="16"/>
      <c r="N234" s="33"/>
      <c r="O234" s="16"/>
      <c r="P234" s="16"/>
      <c r="Q234" s="33"/>
      <c r="R234" s="16"/>
      <c r="S234" s="16"/>
      <c r="T234" s="33"/>
      <c r="U234" s="16"/>
      <c r="V234" s="16"/>
      <c r="W234" s="37"/>
      <c r="X234" s="19"/>
      <c r="Y234" s="19"/>
      <c r="Z234" s="19"/>
      <c r="AA234" s="37"/>
      <c r="AB234" s="19"/>
      <c r="AC234" s="19"/>
    </row>
    <row r="235" spans="1:29" ht="15.6" x14ac:dyDescent="0.3">
      <c r="A235" s="13">
        <v>18</v>
      </c>
      <c r="B235" s="16"/>
      <c r="C235" s="16"/>
      <c r="D235" s="16"/>
      <c r="E235" s="33"/>
      <c r="F235" s="16"/>
      <c r="G235" s="16"/>
      <c r="H235" s="33"/>
      <c r="I235" s="16"/>
      <c r="J235" s="16"/>
      <c r="K235" s="33"/>
      <c r="L235" s="16"/>
      <c r="M235" s="16"/>
      <c r="N235" s="33"/>
      <c r="O235" s="16"/>
      <c r="P235" s="16"/>
      <c r="Q235" s="33"/>
      <c r="R235" s="16"/>
      <c r="S235" s="16"/>
      <c r="T235" s="33"/>
      <c r="U235" s="16"/>
      <c r="V235" s="16"/>
      <c r="W235" s="37"/>
      <c r="X235" s="19"/>
      <c r="Y235" s="19"/>
      <c r="Z235" s="19"/>
      <c r="AA235" s="37"/>
      <c r="AB235" s="19"/>
      <c r="AC235" s="19"/>
    </row>
    <row r="236" spans="1:29" ht="15.6" x14ac:dyDescent="0.3">
      <c r="A236" s="13">
        <v>19</v>
      </c>
      <c r="B236" s="16"/>
      <c r="C236" s="16"/>
      <c r="D236" s="16"/>
      <c r="E236" s="33"/>
      <c r="F236" s="16"/>
      <c r="G236" s="16"/>
      <c r="H236" s="33"/>
      <c r="I236" s="16"/>
      <c r="J236" s="16"/>
      <c r="K236" s="33"/>
      <c r="L236" s="16"/>
      <c r="M236" s="16"/>
      <c r="N236" s="33"/>
      <c r="O236" s="16"/>
      <c r="P236" s="16"/>
      <c r="Q236" s="33"/>
      <c r="R236" s="16"/>
      <c r="S236" s="16"/>
      <c r="T236" s="33"/>
      <c r="U236" s="16"/>
      <c r="V236" s="16"/>
      <c r="W236" s="37"/>
      <c r="X236" s="19"/>
      <c r="Y236" s="19"/>
      <c r="Z236" s="19"/>
      <c r="AA236" s="37"/>
      <c r="AB236" s="19"/>
      <c r="AC236" s="19"/>
    </row>
    <row r="237" spans="1:29" ht="15.6" x14ac:dyDescent="0.3">
      <c r="A237" s="13">
        <v>20</v>
      </c>
      <c r="B237" s="16"/>
      <c r="C237" s="16"/>
      <c r="D237" s="16"/>
      <c r="E237" s="33"/>
      <c r="F237" s="16"/>
      <c r="G237" s="16"/>
      <c r="H237" s="33"/>
      <c r="I237" s="16"/>
      <c r="J237" s="16"/>
      <c r="K237" s="33"/>
      <c r="L237" s="16"/>
      <c r="M237" s="16"/>
      <c r="N237" s="33"/>
      <c r="O237" s="16"/>
      <c r="P237" s="16"/>
      <c r="Q237" s="33"/>
      <c r="R237" s="16"/>
      <c r="S237" s="16"/>
      <c r="T237" s="33"/>
      <c r="U237" s="16"/>
      <c r="V237" s="16"/>
      <c r="W237" s="37"/>
      <c r="X237" s="19"/>
      <c r="Y237" s="19"/>
      <c r="Z237" s="19"/>
      <c r="AA237" s="37"/>
      <c r="AB237" s="19"/>
      <c r="AC237" s="19"/>
    </row>
    <row r="238" spans="1:29" x14ac:dyDescent="0.25">
      <c r="A238" s="22" t="s">
        <v>115</v>
      </c>
      <c r="B238" s="22"/>
      <c r="C238" s="22"/>
      <c r="D238" s="22"/>
      <c r="E238" s="22"/>
      <c r="F238" s="22"/>
      <c r="G238" s="22" t="s">
        <v>468</v>
      </c>
      <c r="H238" s="22"/>
      <c r="I238" s="22"/>
      <c r="J238" s="22"/>
      <c r="K238" s="22"/>
      <c r="L238" s="22"/>
      <c r="M238" s="22"/>
      <c r="N238" s="22"/>
      <c r="O238" s="22" t="s">
        <v>82</v>
      </c>
      <c r="P238" s="22"/>
      <c r="Q238" s="22"/>
      <c r="R238" s="22"/>
      <c r="S238" s="22"/>
      <c r="T238" s="22"/>
      <c r="U238" s="22" t="s">
        <v>83</v>
      </c>
      <c r="V238" s="22"/>
      <c r="W238" s="22"/>
      <c r="X238" s="22"/>
      <c r="Y238" s="22"/>
      <c r="Z238" s="22"/>
      <c r="AA238" s="22"/>
      <c r="AB238" s="22" t="s">
        <v>84</v>
      </c>
      <c r="AC238" s="22"/>
    </row>
    <row r="239" spans="1:29" x14ac:dyDescent="0.25">
      <c r="A239" s="22" t="s">
        <v>89</v>
      </c>
      <c r="B239" s="22"/>
      <c r="C239" s="22"/>
      <c r="D239" s="22"/>
      <c r="E239" s="22"/>
      <c r="F239" s="22" t="s">
        <v>90</v>
      </c>
      <c r="G239" s="22"/>
      <c r="H239" s="22"/>
      <c r="I239" s="22"/>
      <c r="J239" s="22"/>
      <c r="K239" s="22"/>
      <c r="L239" s="22"/>
      <c r="M239" s="22"/>
      <c r="N239" s="22" t="s">
        <v>462</v>
      </c>
      <c r="O239" s="22"/>
      <c r="P239" s="22"/>
      <c r="Q239" s="22"/>
      <c r="R239" s="22"/>
      <c r="S239" s="22"/>
      <c r="T239" s="22" t="s">
        <v>463</v>
      </c>
      <c r="U239" s="22"/>
      <c r="V239" s="22"/>
      <c r="W239" s="22"/>
      <c r="X239" s="22"/>
      <c r="Y239" s="22"/>
      <c r="Z239" s="22"/>
      <c r="AA239" s="22"/>
      <c r="AB239" s="22" t="s">
        <v>85</v>
      </c>
      <c r="AC239" s="22"/>
    </row>
    <row r="240" spans="1:29" x14ac:dyDescent="0.25">
      <c r="A240" s="22" t="s">
        <v>466</v>
      </c>
      <c r="B240" s="22"/>
      <c r="C240" s="22"/>
      <c r="D240" s="22"/>
      <c r="E240" s="22"/>
      <c r="F240" s="22" t="s">
        <v>91</v>
      </c>
      <c r="G240" s="22"/>
      <c r="H240" s="22"/>
      <c r="I240" s="22"/>
      <c r="J240" s="22"/>
      <c r="K240" s="22"/>
      <c r="L240" s="22"/>
      <c r="M240" s="22"/>
      <c r="N240" s="22" t="s">
        <v>94</v>
      </c>
      <c r="O240" s="22"/>
      <c r="P240" s="22"/>
      <c r="Q240" s="22"/>
      <c r="R240" s="22"/>
      <c r="S240" s="22"/>
      <c r="T240" s="22" t="s">
        <v>97</v>
      </c>
      <c r="U240" s="22"/>
      <c r="V240" s="22"/>
      <c r="W240" s="22"/>
      <c r="X240" s="22"/>
      <c r="Y240" s="22"/>
      <c r="Z240" s="22"/>
      <c r="AA240" s="22"/>
      <c r="AB240" s="22" t="s">
        <v>99</v>
      </c>
      <c r="AC240" s="22"/>
    </row>
    <row r="241" spans="1:29" x14ac:dyDescent="0.25">
      <c r="A241" s="22" t="s">
        <v>89</v>
      </c>
      <c r="B241" s="22"/>
      <c r="C241" s="22"/>
      <c r="D241" s="22"/>
      <c r="E241" s="22"/>
      <c r="F241" s="22" t="s">
        <v>92</v>
      </c>
      <c r="G241" s="22"/>
      <c r="H241" s="22"/>
      <c r="I241" s="22"/>
      <c r="J241" s="22"/>
      <c r="K241" s="22"/>
      <c r="L241" s="22"/>
      <c r="M241" s="22"/>
      <c r="N241" s="22" t="s">
        <v>95</v>
      </c>
      <c r="O241" s="22"/>
      <c r="P241" s="22"/>
      <c r="Q241" s="22"/>
      <c r="R241" s="22"/>
      <c r="S241" s="22"/>
      <c r="T241" s="22" t="s">
        <v>98</v>
      </c>
      <c r="U241" s="22"/>
      <c r="V241" s="22"/>
      <c r="W241" s="22"/>
      <c r="X241" s="22"/>
      <c r="Y241" s="22"/>
      <c r="Z241" s="22"/>
      <c r="AA241" s="22"/>
      <c r="AB241" s="22"/>
      <c r="AC241" s="22"/>
    </row>
  </sheetData>
  <mergeCells count="91">
    <mergeCell ref="AA180:AA182"/>
    <mergeCell ref="AB180:AB182"/>
    <mergeCell ref="AC180:AC182"/>
    <mergeCell ref="A215:A217"/>
    <mergeCell ref="C215:E215"/>
    <mergeCell ref="F215:H215"/>
    <mergeCell ref="I215:K215"/>
    <mergeCell ref="L215:N215"/>
    <mergeCell ref="O215:Q215"/>
    <mergeCell ref="U215:W215"/>
    <mergeCell ref="X215:X217"/>
    <mergeCell ref="Y215:Y217"/>
    <mergeCell ref="Z215:Z217"/>
    <mergeCell ref="AA215:AA217"/>
    <mergeCell ref="AB215:AB217"/>
    <mergeCell ref="AC215:AC217"/>
    <mergeCell ref="O180:Q180"/>
    <mergeCell ref="U180:W180"/>
    <mergeCell ref="X180:X182"/>
    <mergeCell ref="Y180:Y182"/>
    <mergeCell ref="Z180:Z182"/>
    <mergeCell ref="A180:A182"/>
    <mergeCell ref="C180:E180"/>
    <mergeCell ref="F180:H180"/>
    <mergeCell ref="I180:K180"/>
    <mergeCell ref="L180:N180"/>
    <mergeCell ref="AA110:AA112"/>
    <mergeCell ref="AB110:AB112"/>
    <mergeCell ref="AC110:AC112"/>
    <mergeCell ref="A145:A147"/>
    <mergeCell ref="C145:E145"/>
    <mergeCell ref="F145:H145"/>
    <mergeCell ref="I145:K145"/>
    <mergeCell ref="L145:N145"/>
    <mergeCell ref="O145:Q145"/>
    <mergeCell ref="U145:W145"/>
    <mergeCell ref="X145:X147"/>
    <mergeCell ref="Y145:Y147"/>
    <mergeCell ref="Z145:Z147"/>
    <mergeCell ref="AA145:AA147"/>
    <mergeCell ref="AB145:AB147"/>
    <mergeCell ref="AC145:AC147"/>
    <mergeCell ref="O110:Q110"/>
    <mergeCell ref="U110:W110"/>
    <mergeCell ref="X110:X112"/>
    <mergeCell ref="Y110:Y112"/>
    <mergeCell ref="Z110:Z112"/>
    <mergeCell ref="A110:A112"/>
    <mergeCell ref="C110:E110"/>
    <mergeCell ref="F110:H110"/>
    <mergeCell ref="I110:K110"/>
    <mergeCell ref="L110:N110"/>
    <mergeCell ref="AA41:AA43"/>
    <mergeCell ref="AB41:AB43"/>
    <mergeCell ref="AC41:AC43"/>
    <mergeCell ref="A76:A78"/>
    <mergeCell ref="C76:E76"/>
    <mergeCell ref="F76:H76"/>
    <mergeCell ref="I76:K76"/>
    <mergeCell ref="L76:N76"/>
    <mergeCell ref="O76:Q76"/>
    <mergeCell ref="U76:W76"/>
    <mergeCell ref="X76:X78"/>
    <mergeCell ref="Y76:Y78"/>
    <mergeCell ref="Z76:Z78"/>
    <mergeCell ref="AA76:AA78"/>
    <mergeCell ref="AB76:AB78"/>
    <mergeCell ref="AC76:AC78"/>
    <mergeCell ref="O41:Q41"/>
    <mergeCell ref="U41:W41"/>
    <mergeCell ref="X41:X43"/>
    <mergeCell ref="Y41:Y43"/>
    <mergeCell ref="Z41:Z43"/>
    <mergeCell ref="A41:A43"/>
    <mergeCell ref="C41:E41"/>
    <mergeCell ref="F41:H41"/>
    <mergeCell ref="I41:K41"/>
    <mergeCell ref="L41:N41"/>
    <mergeCell ref="L7:N7"/>
    <mergeCell ref="A7:A9"/>
    <mergeCell ref="C7:E7"/>
    <mergeCell ref="F7:H7"/>
    <mergeCell ref="I7:K7"/>
    <mergeCell ref="AB7:AB9"/>
    <mergeCell ref="AC7:AC9"/>
    <mergeCell ref="O7:Q7"/>
    <mergeCell ref="U7:W7"/>
    <mergeCell ref="X7:X9"/>
    <mergeCell ref="Y7:Y9"/>
    <mergeCell ref="Z7:Z9"/>
    <mergeCell ref="AA7:AA9"/>
  </mergeCells>
  <printOptions horizontalCentered="1" verticalCentered="1"/>
  <pageMargins left="0.19685039370078741" right="0.70866141732283472" top="0.39370078740157483" bottom="0.39370078740157483" header="0.31496062992125984" footer="0.31496062992125984"/>
  <pageSetup paperSize="9" scale="82" fitToHeight="0" orientation="landscape" r:id="rId1"/>
  <rowBreaks count="6" manualBreakCount="6">
    <brk id="34" max="16383" man="1"/>
    <brk id="69" max="16383" man="1"/>
    <brk id="103" max="16383" man="1"/>
    <brk id="138" max="16383" man="1"/>
    <brk id="173" max="16383" man="1"/>
    <brk id="2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43"/>
  <sheetViews>
    <sheetView rightToLeft="1" view="pageBreakPreview" topLeftCell="A127" zoomScale="80" zoomScaleNormal="100" zoomScaleSheetLayoutView="80" workbookViewId="0">
      <selection activeCell="B149" sqref="B149"/>
    </sheetView>
  </sheetViews>
  <sheetFormatPr defaultRowHeight="15.6" x14ac:dyDescent="0.3"/>
  <cols>
    <col min="1" max="1" width="4.09765625" style="6" customWidth="1"/>
    <col min="2" max="2" width="21.59765625" style="6" bestFit="1" customWidth="1"/>
    <col min="3" max="3" width="3.09765625" style="6" customWidth="1"/>
    <col min="4" max="4" width="4.59765625" style="6" customWidth="1"/>
    <col min="5" max="5" width="4.3984375" style="6" customWidth="1"/>
    <col min="6" max="6" width="4.59765625" style="6" customWidth="1"/>
    <col min="7" max="7" width="3.09765625" style="6" customWidth="1"/>
    <col min="8" max="8" width="5.19921875" style="6" customWidth="1"/>
    <col min="9" max="9" width="3.8984375" style="6" customWidth="1"/>
    <col min="10" max="10" width="3.19921875" style="6" customWidth="1"/>
    <col min="11" max="11" width="4.3984375" style="6" customWidth="1"/>
    <col min="12" max="12" width="3.09765625" style="6" customWidth="1"/>
    <col min="13" max="13" width="3.5" style="6" customWidth="1"/>
    <col min="14" max="15" width="4.3984375" style="6" customWidth="1"/>
    <col min="16" max="16" width="3.19921875" style="6" customWidth="1"/>
    <col min="17" max="17" width="6" style="6" customWidth="1"/>
    <col min="18" max="19" width="3.09765625" style="6" customWidth="1"/>
    <col min="20" max="20" width="5.19921875" style="6" customWidth="1"/>
    <col min="21" max="21" width="4.19921875" style="6" customWidth="1"/>
    <col min="22" max="22" width="4.09765625" style="6" customWidth="1"/>
    <col min="23" max="23" width="5.296875" style="5" customWidth="1"/>
    <col min="24" max="24" width="5.09765625" style="5" customWidth="1"/>
    <col min="25" max="25" width="3.59765625" style="5" customWidth="1"/>
    <col min="26" max="26" width="5" style="5" customWidth="1"/>
    <col min="27" max="27" width="4.69921875" style="5" customWidth="1"/>
    <col min="28" max="28" width="6.09765625" style="5" customWidth="1"/>
    <col min="29" max="29" width="9" style="6" customWidth="1"/>
    <col min="30" max="30" width="8.796875" style="6"/>
  </cols>
  <sheetData>
    <row r="1" spans="1:29" x14ac:dyDescent="0.3">
      <c r="B1" s="15" t="s">
        <v>494</v>
      </c>
      <c r="M1" s="6" t="s">
        <v>467</v>
      </c>
      <c r="AB1" s="5" t="s">
        <v>456</v>
      </c>
    </row>
    <row r="2" spans="1:29" x14ac:dyDescent="0.3">
      <c r="B2" s="15" t="s">
        <v>81</v>
      </c>
      <c r="AB2" s="5" t="s">
        <v>100</v>
      </c>
      <c r="AC2" s="5"/>
    </row>
    <row r="3" spans="1:29" x14ac:dyDescent="0.3">
      <c r="B3" s="15" t="s">
        <v>459</v>
      </c>
      <c r="AB3" s="5" t="s">
        <v>438</v>
      </c>
      <c r="AC3" s="5"/>
    </row>
    <row r="4" spans="1:29" x14ac:dyDescent="0.3">
      <c r="B4" s="15" t="s">
        <v>460</v>
      </c>
      <c r="K4" s="5"/>
      <c r="AB4" s="5" t="s">
        <v>103</v>
      </c>
      <c r="AC4" s="5"/>
    </row>
    <row r="5" spans="1:29" x14ac:dyDescent="0.3">
      <c r="AB5" s="5" t="s">
        <v>104</v>
      </c>
      <c r="AC5" s="5"/>
    </row>
    <row r="6" spans="1:29" x14ac:dyDescent="0.3">
      <c r="C6" s="5" t="s">
        <v>482</v>
      </c>
      <c r="AC6" s="5"/>
    </row>
    <row r="7" spans="1:29" x14ac:dyDescent="0.3">
      <c r="A7" s="57" t="s">
        <v>0</v>
      </c>
      <c r="B7" s="66" t="s">
        <v>469</v>
      </c>
      <c r="C7" s="60" t="s">
        <v>458</v>
      </c>
      <c r="D7" s="61"/>
      <c r="E7" s="62"/>
      <c r="F7" s="60" t="s">
        <v>1</v>
      </c>
      <c r="G7" s="61"/>
      <c r="H7" s="62"/>
      <c r="I7" s="60" t="s">
        <v>2</v>
      </c>
      <c r="J7" s="61"/>
      <c r="K7" s="62"/>
      <c r="L7" s="60" t="s">
        <v>8</v>
      </c>
      <c r="M7" s="61"/>
      <c r="N7" s="62"/>
      <c r="O7" s="60" t="s">
        <v>3</v>
      </c>
      <c r="P7" s="61"/>
      <c r="Q7" s="62"/>
      <c r="R7" s="31"/>
      <c r="S7" s="31" t="s">
        <v>4</v>
      </c>
      <c r="T7" s="31"/>
      <c r="U7" s="60" t="s">
        <v>5</v>
      </c>
      <c r="V7" s="61"/>
      <c r="W7" s="62"/>
      <c r="X7" s="57" t="s">
        <v>16</v>
      </c>
      <c r="Y7" s="57" t="s">
        <v>17</v>
      </c>
      <c r="Z7" s="57" t="s">
        <v>18</v>
      </c>
      <c r="AA7" s="57" t="s">
        <v>19</v>
      </c>
      <c r="AB7" s="57" t="s">
        <v>20</v>
      </c>
      <c r="AC7" s="57" t="s">
        <v>21</v>
      </c>
    </row>
    <row r="8" spans="1:29" ht="55.2" x14ac:dyDescent="0.25">
      <c r="A8" s="58"/>
      <c r="B8" s="67"/>
      <c r="C8" s="32" t="s">
        <v>6</v>
      </c>
      <c r="D8" s="32" t="s">
        <v>461</v>
      </c>
      <c r="E8" s="32" t="s">
        <v>7</v>
      </c>
      <c r="F8" s="32" t="s">
        <v>6</v>
      </c>
      <c r="G8" s="32" t="s">
        <v>461</v>
      </c>
      <c r="H8" s="32" t="s">
        <v>7</v>
      </c>
      <c r="I8" s="32" t="s">
        <v>6</v>
      </c>
      <c r="J8" s="32" t="s">
        <v>461</v>
      </c>
      <c r="K8" s="32" t="s">
        <v>7</v>
      </c>
      <c r="L8" s="32" t="s">
        <v>6</v>
      </c>
      <c r="M8" s="32" t="s">
        <v>461</v>
      </c>
      <c r="N8" s="32" t="s">
        <v>7</v>
      </c>
      <c r="O8" s="32" t="s">
        <v>6</v>
      </c>
      <c r="P8" s="32" t="s">
        <v>461</v>
      </c>
      <c r="Q8" s="32" t="s">
        <v>7</v>
      </c>
      <c r="R8" s="32" t="s">
        <v>6</v>
      </c>
      <c r="S8" s="32" t="s">
        <v>461</v>
      </c>
      <c r="T8" s="32" t="s">
        <v>7</v>
      </c>
      <c r="U8" s="32" t="s">
        <v>6</v>
      </c>
      <c r="V8" s="32" t="s">
        <v>461</v>
      </c>
      <c r="W8" s="32" t="s">
        <v>7</v>
      </c>
      <c r="X8" s="58"/>
      <c r="Y8" s="58"/>
      <c r="Z8" s="58"/>
      <c r="AA8" s="58"/>
      <c r="AB8" s="58"/>
      <c r="AC8" s="58"/>
    </row>
    <row r="9" spans="1:29" x14ac:dyDescent="0.3">
      <c r="A9" s="59"/>
      <c r="B9" s="68"/>
      <c r="C9" s="33">
        <v>50</v>
      </c>
      <c r="D9" s="33">
        <v>50</v>
      </c>
      <c r="E9" s="33">
        <v>100</v>
      </c>
      <c r="F9" s="33">
        <v>50</v>
      </c>
      <c r="G9" s="33">
        <v>50</v>
      </c>
      <c r="H9" s="33">
        <v>100</v>
      </c>
      <c r="I9" s="33">
        <v>50</v>
      </c>
      <c r="J9" s="33">
        <v>50</v>
      </c>
      <c r="K9" s="33">
        <v>100</v>
      </c>
      <c r="L9" s="33">
        <v>50</v>
      </c>
      <c r="M9" s="33">
        <v>50</v>
      </c>
      <c r="N9" s="33">
        <v>100</v>
      </c>
      <c r="O9" s="33">
        <v>50</v>
      </c>
      <c r="P9" s="33">
        <v>50</v>
      </c>
      <c r="Q9" s="33">
        <v>100</v>
      </c>
      <c r="R9" s="33">
        <v>50</v>
      </c>
      <c r="S9" s="33">
        <v>50</v>
      </c>
      <c r="T9" s="33">
        <v>100</v>
      </c>
      <c r="U9" s="33">
        <v>50</v>
      </c>
      <c r="V9" s="33">
        <v>50</v>
      </c>
      <c r="W9" s="33">
        <v>100</v>
      </c>
      <c r="X9" s="59"/>
      <c r="Y9" s="59"/>
      <c r="Z9" s="59"/>
      <c r="AA9" s="59"/>
      <c r="AB9" s="59"/>
      <c r="AC9" s="59"/>
    </row>
    <row r="10" spans="1:29" x14ac:dyDescent="0.3">
      <c r="A10" s="26">
        <v>1</v>
      </c>
      <c r="B10" s="27" t="s">
        <v>447</v>
      </c>
      <c r="C10" s="26">
        <v>40</v>
      </c>
      <c r="D10" s="26">
        <v>36</v>
      </c>
      <c r="E10" s="33">
        <f t="shared" ref="E10:E28" si="0">SUM(C10:D10)</f>
        <v>76</v>
      </c>
      <c r="F10" s="26">
        <v>40</v>
      </c>
      <c r="G10" s="26">
        <v>31</v>
      </c>
      <c r="H10" s="33">
        <f t="shared" ref="H10:H28" si="1">SUM(F10:G10)</f>
        <v>71</v>
      </c>
      <c r="I10" s="26">
        <v>37</v>
      </c>
      <c r="J10" s="26">
        <v>37</v>
      </c>
      <c r="K10" s="33">
        <f t="shared" ref="K10:K28" si="2">SUM(I10:J10)</f>
        <v>74</v>
      </c>
      <c r="L10" s="26"/>
      <c r="M10" s="26"/>
      <c r="N10" s="33"/>
      <c r="O10" s="26">
        <v>35</v>
      </c>
      <c r="P10" s="26">
        <v>31</v>
      </c>
      <c r="Q10" s="33">
        <f t="shared" ref="Q10:Q28" si="3">SUM(O10:P10)</f>
        <v>66</v>
      </c>
      <c r="R10" s="26"/>
      <c r="T10" s="33"/>
      <c r="U10" s="26">
        <v>40</v>
      </c>
      <c r="V10" s="26">
        <v>30</v>
      </c>
      <c r="W10" s="37">
        <f t="shared" ref="W10:W28" si="4">SUM(U10:V10)</f>
        <v>70</v>
      </c>
      <c r="X10" s="29"/>
      <c r="Y10" s="29"/>
      <c r="Z10" s="29"/>
      <c r="AA10" s="37">
        <f t="shared" ref="AA10:AA28" si="5">SUM(W10,Q10,K10,H10,E10)</f>
        <v>357</v>
      </c>
      <c r="AB10" s="26" t="s">
        <v>117</v>
      </c>
      <c r="AC10" s="28"/>
    </row>
    <row r="11" spans="1:29" x14ac:dyDescent="0.3">
      <c r="A11" s="26">
        <v>2</v>
      </c>
      <c r="B11" s="27" t="s">
        <v>317</v>
      </c>
      <c r="C11" s="26">
        <v>28</v>
      </c>
      <c r="D11" s="26">
        <v>32</v>
      </c>
      <c r="E11" s="33">
        <f t="shared" si="0"/>
        <v>60</v>
      </c>
      <c r="F11" s="26">
        <v>27</v>
      </c>
      <c r="G11" s="26">
        <v>25</v>
      </c>
      <c r="H11" s="33">
        <f t="shared" si="1"/>
        <v>52</v>
      </c>
      <c r="I11" s="26">
        <v>31</v>
      </c>
      <c r="J11" s="26">
        <v>37</v>
      </c>
      <c r="K11" s="33">
        <f t="shared" si="2"/>
        <v>68</v>
      </c>
      <c r="L11" s="26"/>
      <c r="M11" s="26"/>
      <c r="N11" s="33"/>
      <c r="O11" s="26">
        <v>39</v>
      </c>
      <c r="P11" s="26">
        <v>46</v>
      </c>
      <c r="Q11" s="33">
        <f t="shared" si="3"/>
        <v>85</v>
      </c>
      <c r="R11" s="26"/>
      <c r="S11" s="26"/>
      <c r="T11" s="33"/>
      <c r="U11" s="26">
        <v>22</v>
      </c>
      <c r="V11" s="26">
        <v>31</v>
      </c>
      <c r="W11" s="37">
        <f t="shared" si="4"/>
        <v>53</v>
      </c>
      <c r="X11" s="29"/>
      <c r="Y11" s="29"/>
      <c r="Z11" s="29"/>
      <c r="AA11" s="37">
        <f t="shared" si="5"/>
        <v>318</v>
      </c>
      <c r="AB11" s="26" t="s">
        <v>117</v>
      </c>
      <c r="AC11" s="28"/>
    </row>
    <row r="12" spans="1:29" x14ac:dyDescent="0.3">
      <c r="A12" s="26">
        <v>3</v>
      </c>
      <c r="B12" s="27" t="s">
        <v>318</v>
      </c>
      <c r="C12" s="26">
        <v>35</v>
      </c>
      <c r="D12" s="26">
        <v>25</v>
      </c>
      <c r="E12" s="33">
        <f t="shared" si="0"/>
        <v>60</v>
      </c>
      <c r="F12" s="26">
        <v>31</v>
      </c>
      <c r="G12" s="26">
        <v>30</v>
      </c>
      <c r="H12" s="33">
        <f t="shared" si="1"/>
        <v>61</v>
      </c>
      <c r="I12" s="26">
        <v>31</v>
      </c>
      <c r="J12" s="26">
        <v>44</v>
      </c>
      <c r="K12" s="33">
        <f t="shared" si="2"/>
        <v>75</v>
      </c>
      <c r="L12" s="26"/>
      <c r="M12" s="26"/>
      <c r="N12" s="33"/>
      <c r="O12" s="26">
        <v>34</v>
      </c>
      <c r="P12" s="26">
        <v>43</v>
      </c>
      <c r="Q12" s="33">
        <f t="shared" si="3"/>
        <v>77</v>
      </c>
      <c r="R12" s="26"/>
      <c r="S12" s="26"/>
      <c r="T12" s="33"/>
      <c r="U12" s="26">
        <v>28</v>
      </c>
      <c r="V12" s="26">
        <v>30</v>
      </c>
      <c r="W12" s="37">
        <f t="shared" si="4"/>
        <v>58</v>
      </c>
      <c r="X12" s="29"/>
      <c r="Y12" s="29"/>
      <c r="Z12" s="29"/>
      <c r="AA12" s="37">
        <f t="shared" si="5"/>
        <v>331</v>
      </c>
      <c r="AB12" s="26" t="s">
        <v>117</v>
      </c>
      <c r="AC12" s="28"/>
    </row>
    <row r="13" spans="1:29" x14ac:dyDescent="0.3">
      <c r="A13" s="26">
        <v>4</v>
      </c>
      <c r="B13" s="27" t="s">
        <v>320</v>
      </c>
      <c r="C13" s="26">
        <v>46</v>
      </c>
      <c r="D13" s="26">
        <v>30</v>
      </c>
      <c r="E13" s="33">
        <f t="shared" si="0"/>
        <v>76</v>
      </c>
      <c r="F13" s="26">
        <v>46</v>
      </c>
      <c r="G13" s="26">
        <v>42</v>
      </c>
      <c r="H13" s="33">
        <f t="shared" si="1"/>
        <v>88</v>
      </c>
      <c r="I13" s="26">
        <v>44</v>
      </c>
      <c r="J13" s="26">
        <v>47</v>
      </c>
      <c r="K13" s="33">
        <f t="shared" si="2"/>
        <v>91</v>
      </c>
      <c r="L13" s="26"/>
      <c r="M13" s="26"/>
      <c r="N13" s="33"/>
      <c r="O13" s="26">
        <v>41</v>
      </c>
      <c r="P13" s="26">
        <v>48</v>
      </c>
      <c r="Q13" s="33">
        <f t="shared" si="3"/>
        <v>89</v>
      </c>
      <c r="R13" s="26"/>
      <c r="S13" s="26"/>
      <c r="T13" s="33"/>
      <c r="U13" s="26">
        <v>43</v>
      </c>
      <c r="V13" s="26">
        <v>33</v>
      </c>
      <c r="W13" s="37">
        <f t="shared" si="4"/>
        <v>76</v>
      </c>
      <c r="X13" s="29"/>
      <c r="Y13" s="29"/>
      <c r="Z13" s="29"/>
      <c r="AA13" s="37">
        <f t="shared" si="5"/>
        <v>420</v>
      </c>
      <c r="AB13" s="26" t="s">
        <v>117</v>
      </c>
      <c r="AC13" s="28"/>
    </row>
    <row r="14" spans="1:29" ht="18.75" customHeight="1" x14ac:dyDescent="0.3">
      <c r="A14" s="26">
        <v>5</v>
      </c>
      <c r="B14" s="27" t="s">
        <v>333</v>
      </c>
      <c r="C14" s="26">
        <v>48</v>
      </c>
      <c r="D14" s="26">
        <v>39</v>
      </c>
      <c r="E14" s="33">
        <f t="shared" si="0"/>
        <v>87</v>
      </c>
      <c r="F14" s="26">
        <v>47</v>
      </c>
      <c r="G14" s="26">
        <v>32</v>
      </c>
      <c r="H14" s="33">
        <f t="shared" si="1"/>
        <v>79</v>
      </c>
      <c r="I14" s="26">
        <v>47</v>
      </c>
      <c r="J14" s="26">
        <v>47</v>
      </c>
      <c r="K14" s="33">
        <f t="shared" si="2"/>
        <v>94</v>
      </c>
      <c r="L14" s="26"/>
      <c r="M14" s="26"/>
      <c r="N14" s="33"/>
      <c r="O14" s="26">
        <v>35</v>
      </c>
      <c r="P14" s="26">
        <v>39</v>
      </c>
      <c r="Q14" s="33">
        <f t="shared" si="3"/>
        <v>74</v>
      </c>
      <c r="R14" s="26"/>
      <c r="S14" s="26"/>
      <c r="T14" s="33"/>
      <c r="U14" s="26">
        <v>42</v>
      </c>
      <c r="V14" s="26">
        <v>50</v>
      </c>
      <c r="W14" s="37">
        <f t="shared" si="4"/>
        <v>92</v>
      </c>
      <c r="X14" s="29"/>
      <c r="Y14" s="29"/>
      <c r="Z14" s="29"/>
      <c r="AA14" s="37">
        <f t="shared" si="5"/>
        <v>426</v>
      </c>
      <c r="AB14" s="26" t="s">
        <v>117</v>
      </c>
      <c r="AC14" s="28"/>
    </row>
    <row r="15" spans="1:29" ht="18.75" customHeight="1" x14ac:dyDescent="0.3">
      <c r="A15" s="26">
        <v>6</v>
      </c>
      <c r="B15" s="27" t="s">
        <v>319</v>
      </c>
      <c r="C15" s="26">
        <v>29</v>
      </c>
      <c r="D15" s="26">
        <v>25</v>
      </c>
      <c r="E15" s="33">
        <f t="shared" si="0"/>
        <v>54</v>
      </c>
      <c r="F15" s="26">
        <v>30</v>
      </c>
      <c r="G15" s="26">
        <v>25</v>
      </c>
      <c r="H15" s="33">
        <f t="shared" si="1"/>
        <v>55</v>
      </c>
      <c r="I15" s="26">
        <v>42</v>
      </c>
      <c r="J15" s="26">
        <v>42</v>
      </c>
      <c r="K15" s="33">
        <f t="shared" si="2"/>
        <v>84</v>
      </c>
      <c r="L15" s="26"/>
      <c r="M15" s="26"/>
      <c r="N15" s="33"/>
      <c r="O15" s="26">
        <v>28</v>
      </c>
      <c r="P15" s="26">
        <v>43</v>
      </c>
      <c r="Q15" s="33">
        <f t="shared" si="3"/>
        <v>71</v>
      </c>
      <c r="R15" s="26"/>
      <c r="S15" s="26"/>
      <c r="T15" s="33"/>
      <c r="U15" s="26">
        <v>27</v>
      </c>
      <c r="V15" s="26">
        <v>32</v>
      </c>
      <c r="W15" s="37">
        <f t="shared" si="4"/>
        <v>59</v>
      </c>
      <c r="X15" s="29"/>
      <c r="Y15" s="29"/>
      <c r="Z15" s="29"/>
      <c r="AA15" s="37">
        <f t="shared" si="5"/>
        <v>323</v>
      </c>
      <c r="AB15" s="26" t="s">
        <v>117</v>
      </c>
      <c r="AC15" s="28"/>
    </row>
    <row r="16" spans="1:29" ht="18.75" customHeight="1" x14ac:dyDescent="0.3">
      <c r="A16" s="26">
        <v>7</v>
      </c>
      <c r="B16" s="27" t="s">
        <v>325</v>
      </c>
      <c r="C16" s="26">
        <v>30</v>
      </c>
      <c r="D16" s="26">
        <v>29</v>
      </c>
      <c r="E16" s="33">
        <f t="shared" si="0"/>
        <v>59</v>
      </c>
      <c r="F16" s="26">
        <v>40</v>
      </c>
      <c r="G16" s="26">
        <v>27</v>
      </c>
      <c r="H16" s="33">
        <f t="shared" si="1"/>
        <v>67</v>
      </c>
      <c r="I16" s="26">
        <v>39</v>
      </c>
      <c r="J16" s="26">
        <v>43</v>
      </c>
      <c r="K16" s="33">
        <f t="shared" si="2"/>
        <v>82</v>
      </c>
      <c r="L16" s="26"/>
      <c r="M16" s="26"/>
      <c r="N16" s="33"/>
      <c r="O16" s="26">
        <v>34</v>
      </c>
      <c r="P16" s="26">
        <v>45</v>
      </c>
      <c r="Q16" s="33">
        <f t="shared" si="3"/>
        <v>79</v>
      </c>
      <c r="R16" s="26"/>
      <c r="S16" s="26"/>
      <c r="T16" s="33"/>
      <c r="U16" s="26">
        <v>33</v>
      </c>
      <c r="V16" s="26">
        <v>34</v>
      </c>
      <c r="W16" s="37">
        <f t="shared" si="4"/>
        <v>67</v>
      </c>
      <c r="X16" s="29"/>
      <c r="Y16" s="29"/>
      <c r="Z16" s="29"/>
      <c r="AA16" s="37">
        <f t="shared" si="5"/>
        <v>354</v>
      </c>
      <c r="AB16" s="26" t="s">
        <v>117</v>
      </c>
      <c r="AC16" s="28"/>
    </row>
    <row r="17" spans="1:29" ht="18.75" customHeight="1" x14ac:dyDescent="0.3">
      <c r="A17" s="26">
        <v>8</v>
      </c>
      <c r="B17" s="27" t="s">
        <v>334</v>
      </c>
      <c r="C17" s="26">
        <v>26</v>
      </c>
      <c r="D17" s="26">
        <v>24</v>
      </c>
      <c r="E17" s="33">
        <f t="shared" si="0"/>
        <v>50</v>
      </c>
      <c r="F17" s="26">
        <v>46</v>
      </c>
      <c r="G17" s="26">
        <v>18</v>
      </c>
      <c r="H17" s="33">
        <f t="shared" si="1"/>
        <v>64</v>
      </c>
      <c r="I17" s="26">
        <v>30</v>
      </c>
      <c r="J17" s="26">
        <v>29</v>
      </c>
      <c r="K17" s="33">
        <f t="shared" si="2"/>
        <v>59</v>
      </c>
      <c r="L17" s="26"/>
      <c r="M17" s="26"/>
      <c r="N17" s="33"/>
      <c r="O17" s="26">
        <v>24</v>
      </c>
      <c r="P17" s="26">
        <v>29</v>
      </c>
      <c r="Q17" s="33">
        <f t="shared" si="3"/>
        <v>53</v>
      </c>
      <c r="R17" s="26"/>
      <c r="S17" s="26"/>
      <c r="T17" s="33"/>
      <c r="U17" s="26">
        <v>25</v>
      </c>
      <c r="V17" s="26">
        <v>25</v>
      </c>
      <c r="W17" s="37">
        <f t="shared" si="4"/>
        <v>50</v>
      </c>
      <c r="X17" s="29"/>
      <c r="Y17" s="29"/>
      <c r="Z17" s="29"/>
      <c r="AA17" s="37">
        <f t="shared" si="5"/>
        <v>276</v>
      </c>
      <c r="AB17" s="26" t="s">
        <v>117</v>
      </c>
      <c r="AC17" s="28"/>
    </row>
    <row r="18" spans="1:29" ht="18.75" customHeight="1" x14ac:dyDescent="0.3">
      <c r="A18" s="26">
        <v>10</v>
      </c>
      <c r="B18" s="27" t="s">
        <v>326</v>
      </c>
      <c r="C18" s="26">
        <v>29</v>
      </c>
      <c r="D18" s="26">
        <v>28</v>
      </c>
      <c r="E18" s="33">
        <f t="shared" si="0"/>
        <v>57</v>
      </c>
      <c r="F18" s="26">
        <v>28</v>
      </c>
      <c r="G18" s="26">
        <v>27</v>
      </c>
      <c r="H18" s="33">
        <f t="shared" si="1"/>
        <v>55</v>
      </c>
      <c r="I18" s="26">
        <v>31</v>
      </c>
      <c r="J18" s="26">
        <v>29</v>
      </c>
      <c r="K18" s="33">
        <f t="shared" si="2"/>
        <v>60</v>
      </c>
      <c r="L18" s="26"/>
      <c r="M18" s="26"/>
      <c r="N18" s="33"/>
      <c r="O18" s="26">
        <v>28</v>
      </c>
      <c r="P18" s="26">
        <v>30</v>
      </c>
      <c r="Q18" s="33">
        <f t="shared" si="3"/>
        <v>58</v>
      </c>
      <c r="R18" s="26"/>
      <c r="S18" s="26"/>
      <c r="T18" s="33"/>
      <c r="U18" s="26">
        <v>28</v>
      </c>
      <c r="V18" s="26">
        <v>23</v>
      </c>
      <c r="W18" s="37">
        <f t="shared" si="4"/>
        <v>51</v>
      </c>
      <c r="X18" s="29"/>
      <c r="Y18" s="29"/>
      <c r="Z18" s="29"/>
      <c r="AA18" s="37">
        <f t="shared" si="5"/>
        <v>281</v>
      </c>
      <c r="AB18" s="26" t="s">
        <v>117</v>
      </c>
      <c r="AC18" s="28"/>
    </row>
    <row r="19" spans="1:29" ht="18.75" customHeight="1" x14ac:dyDescent="0.3">
      <c r="A19" s="26">
        <v>11</v>
      </c>
      <c r="B19" s="27" t="s">
        <v>335</v>
      </c>
      <c r="C19" s="26">
        <v>49</v>
      </c>
      <c r="D19" s="26">
        <v>50</v>
      </c>
      <c r="E19" s="33">
        <f t="shared" si="0"/>
        <v>99</v>
      </c>
      <c r="F19" s="26">
        <v>50</v>
      </c>
      <c r="G19" s="26">
        <v>50</v>
      </c>
      <c r="H19" s="33">
        <f t="shared" si="1"/>
        <v>100</v>
      </c>
      <c r="I19" s="26">
        <v>49</v>
      </c>
      <c r="J19" s="26">
        <v>50</v>
      </c>
      <c r="K19" s="33">
        <f t="shared" si="2"/>
        <v>99</v>
      </c>
      <c r="L19" s="26"/>
      <c r="M19" s="26"/>
      <c r="N19" s="33"/>
      <c r="O19" s="26">
        <v>50</v>
      </c>
      <c r="P19" s="26">
        <v>48</v>
      </c>
      <c r="Q19" s="33">
        <f t="shared" si="3"/>
        <v>98</v>
      </c>
      <c r="R19" s="26"/>
      <c r="S19" s="26"/>
      <c r="T19" s="33"/>
      <c r="U19" s="26">
        <v>50</v>
      </c>
      <c r="V19" s="26">
        <v>50</v>
      </c>
      <c r="W19" s="37">
        <f t="shared" si="4"/>
        <v>100</v>
      </c>
      <c r="X19" s="29"/>
      <c r="Y19" s="29"/>
      <c r="Z19" s="29"/>
      <c r="AA19" s="37">
        <f t="shared" si="5"/>
        <v>496</v>
      </c>
      <c r="AB19" s="26" t="s">
        <v>117</v>
      </c>
      <c r="AC19" s="28"/>
    </row>
    <row r="20" spans="1:29" ht="18.75" customHeight="1" x14ac:dyDescent="0.3">
      <c r="A20" s="26">
        <v>12</v>
      </c>
      <c r="B20" s="27" t="s">
        <v>321</v>
      </c>
      <c r="C20" s="26">
        <v>39</v>
      </c>
      <c r="D20" s="26">
        <v>29</v>
      </c>
      <c r="E20" s="33">
        <f t="shared" si="0"/>
        <v>68</v>
      </c>
      <c r="F20" s="26">
        <v>29</v>
      </c>
      <c r="G20" s="26">
        <v>27</v>
      </c>
      <c r="H20" s="33">
        <f t="shared" si="1"/>
        <v>56</v>
      </c>
      <c r="I20" s="26">
        <v>37</v>
      </c>
      <c r="J20" s="26">
        <v>45</v>
      </c>
      <c r="K20" s="33">
        <f t="shared" si="2"/>
        <v>82</v>
      </c>
      <c r="L20" s="26"/>
      <c r="M20" s="26"/>
      <c r="N20" s="33"/>
      <c r="O20" s="26">
        <v>32</v>
      </c>
      <c r="P20" s="26">
        <v>31</v>
      </c>
      <c r="Q20" s="33">
        <f t="shared" si="3"/>
        <v>63</v>
      </c>
      <c r="R20" s="26"/>
      <c r="S20" s="26"/>
      <c r="T20" s="33"/>
      <c r="U20" s="26">
        <v>28</v>
      </c>
      <c r="V20" s="26">
        <v>36</v>
      </c>
      <c r="W20" s="37">
        <f t="shared" si="4"/>
        <v>64</v>
      </c>
      <c r="X20" s="29"/>
      <c r="Y20" s="29"/>
      <c r="Z20" s="29"/>
      <c r="AA20" s="37">
        <f t="shared" si="5"/>
        <v>333</v>
      </c>
      <c r="AB20" s="26" t="s">
        <v>117</v>
      </c>
      <c r="AC20" s="28"/>
    </row>
    <row r="21" spans="1:29" ht="18.75" customHeight="1" x14ac:dyDescent="0.3">
      <c r="A21" s="26">
        <v>13</v>
      </c>
      <c r="B21" s="27" t="s">
        <v>336</v>
      </c>
      <c r="C21" s="26">
        <v>29</v>
      </c>
      <c r="D21" s="26">
        <v>22</v>
      </c>
      <c r="E21" s="33">
        <f t="shared" si="0"/>
        <v>51</v>
      </c>
      <c r="F21" s="26">
        <v>32</v>
      </c>
      <c r="G21" s="26">
        <v>32</v>
      </c>
      <c r="H21" s="33">
        <f t="shared" si="1"/>
        <v>64</v>
      </c>
      <c r="I21" s="26">
        <v>33</v>
      </c>
      <c r="J21" s="26">
        <v>43</v>
      </c>
      <c r="K21" s="33">
        <f t="shared" si="2"/>
        <v>76</v>
      </c>
      <c r="L21" s="26"/>
      <c r="M21" s="26"/>
      <c r="N21" s="33"/>
      <c r="O21" s="26">
        <v>27</v>
      </c>
      <c r="P21" s="26">
        <v>31</v>
      </c>
      <c r="Q21" s="33">
        <f t="shared" si="3"/>
        <v>58</v>
      </c>
      <c r="R21" s="26"/>
      <c r="S21" s="26"/>
      <c r="T21" s="33"/>
      <c r="U21" s="26">
        <v>26</v>
      </c>
      <c r="V21" s="26">
        <v>45</v>
      </c>
      <c r="W21" s="37">
        <f t="shared" si="4"/>
        <v>71</v>
      </c>
      <c r="X21" s="29"/>
      <c r="Y21" s="29"/>
      <c r="Z21" s="29"/>
      <c r="AA21" s="37">
        <f t="shared" si="5"/>
        <v>320</v>
      </c>
      <c r="AB21" s="26" t="s">
        <v>117</v>
      </c>
      <c r="AC21" s="28"/>
    </row>
    <row r="22" spans="1:29" ht="18.75" customHeight="1" x14ac:dyDescent="0.3">
      <c r="A22" s="26">
        <v>14</v>
      </c>
      <c r="B22" s="27" t="s">
        <v>322</v>
      </c>
      <c r="C22" s="26">
        <v>50</v>
      </c>
      <c r="D22" s="26">
        <v>50</v>
      </c>
      <c r="E22" s="33">
        <f t="shared" si="0"/>
        <v>100</v>
      </c>
      <c r="F22" s="26">
        <v>49</v>
      </c>
      <c r="G22" s="26">
        <v>50</v>
      </c>
      <c r="H22" s="33">
        <f t="shared" si="1"/>
        <v>99</v>
      </c>
      <c r="I22" s="26">
        <v>45</v>
      </c>
      <c r="J22" s="26">
        <v>50</v>
      </c>
      <c r="K22" s="33">
        <f t="shared" si="2"/>
        <v>95</v>
      </c>
      <c r="L22" s="26"/>
      <c r="M22" s="26"/>
      <c r="N22" s="33"/>
      <c r="O22" s="26">
        <v>50</v>
      </c>
      <c r="P22" s="26">
        <v>46</v>
      </c>
      <c r="Q22" s="33">
        <f t="shared" si="3"/>
        <v>96</v>
      </c>
      <c r="R22" s="26"/>
      <c r="S22" s="26"/>
      <c r="T22" s="33"/>
      <c r="U22" s="26">
        <v>49</v>
      </c>
      <c r="V22" s="26">
        <v>50</v>
      </c>
      <c r="W22" s="37">
        <f t="shared" si="4"/>
        <v>99</v>
      </c>
      <c r="X22" s="29"/>
      <c r="Y22" s="29"/>
      <c r="Z22" s="29"/>
      <c r="AA22" s="37">
        <f t="shared" si="5"/>
        <v>489</v>
      </c>
      <c r="AB22" s="26" t="s">
        <v>117</v>
      </c>
      <c r="AC22" s="28"/>
    </row>
    <row r="23" spans="1:29" ht="18.75" customHeight="1" x14ac:dyDescent="0.3">
      <c r="A23" s="26">
        <v>15</v>
      </c>
      <c r="B23" s="27" t="s">
        <v>323</v>
      </c>
      <c r="C23" s="26">
        <v>29</v>
      </c>
      <c r="D23" s="26">
        <v>35</v>
      </c>
      <c r="E23" s="33">
        <f t="shared" si="0"/>
        <v>64</v>
      </c>
      <c r="F23" s="26">
        <v>31</v>
      </c>
      <c r="G23" s="26">
        <v>48</v>
      </c>
      <c r="H23" s="33">
        <f t="shared" si="1"/>
        <v>79</v>
      </c>
      <c r="I23" s="26">
        <v>36</v>
      </c>
      <c r="J23" s="26">
        <v>42</v>
      </c>
      <c r="K23" s="33">
        <f t="shared" si="2"/>
        <v>78</v>
      </c>
      <c r="L23" s="26"/>
      <c r="M23" s="26"/>
      <c r="N23" s="33"/>
      <c r="O23" s="26">
        <v>36</v>
      </c>
      <c r="P23" s="26">
        <v>43</v>
      </c>
      <c r="Q23" s="33">
        <f t="shared" si="3"/>
        <v>79</v>
      </c>
      <c r="R23" s="26"/>
      <c r="S23" s="26"/>
      <c r="T23" s="33"/>
      <c r="U23" s="26">
        <v>26</v>
      </c>
      <c r="V23" s="26">
        <v>28</v>
      </c>
      <c r="W23" s="37">
        <f t="shared" si="4"/>
        <v>54</v>
      </c>
      <c r="X23" s="29"/>
      <c r="Y23" s="29"/>
      <c r="Z23" s="29"/>
      <c r="AA23" s="37">
        <f t="shared" si="5"/>
        <v>354</v>
      </c>
      <c r="AB23" s="26" t="s">
        <v>117</v>
      </c>
      <c r="AC23" s="28"/>
    </row>
    <row r="24" spans="1:29" ht="18.75" customHeight="1" x14ac:dyDescent="0.3">
      <c r="A24" s="26">
        <v>16</v>
      </c>
      <c r="B24" s="27" t="s">
        <v>324</v>
      </c>
      <c r="C24" s="26">
        <v>48</v>
      </c>
      <c r="D24" s="26">
        <v>46</v>
      </c>
      <c r="E24" s="33">
        <f t="shared" si="0"/>
        <v>94</v>
      </c>
      <c r="F24" s="26">
        <v>50</v>
      </c>
      <c r="G24" s="26">
        <v>46</v>
      </c>
      <c r="H24" s="33">
        <f t="shared" si="1"/>
        <v>96</v>
      </c>
      <c r="I24" s="26">
        <v>44</v>
      </c>
      <c r="J24" s="26">
        <v>49</v>
      </c>
      <c r="K24" s="33">
        <f t="shared" si="2"/>
        <v>93</v>
      </c>
      <c r="L24" s="26"/>
      <c r="M24" s="26"/>
      <c r="N24" s="33"/>
      <c r="O24" s="26">
        <v>50</v>
      </c>
      <c r="P24" s="26">
        <v>43</v>
      </c>
      <c r="Q24" s="33">
        <f t="shared" si="3"/>
        <v>93</v>
      </c>
      <c r="R24" s="26"/>
      <c r="S24" s="26"/>
      <c r="T24" s="33"/>
      <c r="U24" s="26">
        <v>46</v>
      </c>
      <c r="V24" s="26">
        <v>28</v>
      </c>
      <c r="W24" s="37">
        <f t="shared" si="4"/>
        <v>74</v>
      </c>
      <c r="X24" s="29"/>
      <c r="Y24" s="29"/>
      <c r="Z24" s="29"/>
      <c r="AA24" s="37">
        <f t="shared" si="5"/>
        <v>450</v>
      </c>
      <c r="AB24" s="26" t="s">
        <v>117</v>
      </c>
      <c r="AC24" s="28"/>
    </row>
    <row r="25" spans="1:29" ht="18.75" customHeight="1" x14ac:dyDescent="0.3">
      <c r="A25" s="26">
        <v>17</v>
      </c>
      <c r="B25" s="27" t="s">
        <v>327</v>
      </c>
      <c r="C25" s="26">
        <v>28</v>
      </c>
      <c r="D25" s="26">
        <v>25</v>
      </c>
      <c r="E25" s="33">
        <f t="shared" si="0"/>
        <v>53</v>
      </c>
      <c r="F25" s="26">
        <v>30</v>
      </c>
      <c r="G25" s="26">
        <v>32</v>
      </c>
      <c r="H25" s="33">
        <f t="shared" si="1"/>
        <v>62</v>
      </c>
      <c r="I25" s="26">
        <v>38</v>
      </c>
      <c r="J25" s="26">
        <v>42</v>
      </c>
      <c r="K25" s="33">
        <f t="shared" si="2"/>
        <v>80</v>
      </c>
      <c r="L25" s="26"/>
      <c r="M25" s="26"/>
      <c r="N25" s="33"/>
      <c r="O25" s="26">
        <v>39</v>
      </c>
      <c r="P25" s="26">
        <v>34</v>
      </c>
      <c r="Q25" s="33">
        <f t="shared" si="3"/>
        <v>73</v>
      </c>
      <c r="R25" s="26"/>
      <c r="S25" s="26"/>
      <c r="T25" s="33"/>
      <c r="U25" s="26">
        <v>28</v>
      </c>
      <c r="V25" s="26">
        <v>25</v>
      </c>
      <c r="W25" s="37">
        <f t="shared" si="4"/>
        <v>53</v>
      </c>
      <c r="X25" s="29"/>
      <c r="Y25" s="29"/>
      <c r="Z25" s="29"/>
      <c r="AA25" s="37">
        <f t="shared" si="5"/>
        <v>321</v>
      </c>
      <c r="AB25" s="26" t="s">
        <v>117</v>
      </c>
      <c r="AC25" s="28"/>
    </row>
    <row r="26" spans="1:29" ht="18.75" customHeight="1" x14ac:dyDescent="0.3">
      <c r="A26" s="26">
        <v>18</v>
      </c>
      <c r="B26" s="27" t="s">
        <v>486</v>
      </c>
      <c r="C26" s="26">
        <v>45</v>
      </c>
      <c r="D26" s="26">
        <v>46</v>
      </c>
      <c r="E26" s="33">
        <f t="shared" si="0"/>
        <v>91</v>
      </c>
      <c r="F26" s="26">
        <v>39</v>
      </c>
      <c r="G26" s="26">
        <v>42</v>
      </c>
      <c r="H26" s="33">
        <f t="shared" si="1"/>
        <v>81</v>
      </c>
      <c r="I26" s="26">
        <v>41</v>
      </c>
      <c r="J26" s="26">
        <v>49</v>
      </c>
      <c r="K26" s="33">
        <f t="shared" si="2"/>
        <v>90</v>
      </c>
      <c r="L26" s="26"/>
      <c r="M26" s="26"/>
      <c r="N26" s="33"/>
      <c r="O26" s="26">
        <v>50</v>
      </c>
      <c r="P26" s="26">
        <v>50</v>
      </c>
      <c r="Q26" s="33">
        <f t="shared" si="3"/>
        <v>100</v>
      </c>
      <c r="R26" s="26"/>
      <c r="S26" s="26"/>
      <c r="T26" s="33"/>
      <c r="U26" s="26">
        <v>43</v>
      </c>
      <c r="V26" s="26">
        <v>45</v>
      </c>
      <c r="W26" s="37">
        <f t="shared" si="4"/>
        <v>88</v>
      </c>
      <c r="X26" s="29"/>
      <c r="Y26" s="29"/>
      <c r="Z26" s="29"/>
      <c r="AA26" s="37">
        <f t="shared" si="5"/>
        <v>450</v>
      </c>
      <c r="AB26" s="26" t="s">
        <v>117</v>
      </c>
      <c r="AC26" s="28"/>
    </row>
    <row r="27" spans="1:29" ht="18.75" customHeight="1" x14ac:dyDescent="0.3">
      <c r="A27" s="26">
        <v>19</v>
      </c>
      <c r="B27" s="27" t="s">
        <v>328</v>
      </c>
      <c r="C27" s="26">
        <v>20</v>
      </c>
      <c r="D27" s="26">
        <v>35</v>
      </c>
      <c r="E27" s="33">
        <f t="shared" si="0"/>
        <v>55</v>
      </c>
      <c r="F27" s="26">
        <v>29</v>
      </c>
      <c r="G27" s="26">
        <v>23</v>
      </c>
      <c r="H27" s="33">
        <f t="shared" si="1"/>
        <v>52</v>
      </c>
      <c r="I27" s="26">
        <v>20</v>
      </c>
      <c r="J27" s="26">
        <v>37</v>
      </c>
      <c r="K27" s="33">
        <f t="shared" si="2"/>
        <v>57</v>
      </c>
      <c r="L27" s="26"/>
      <c r="M27" s="26"/>
      <c r="N27" s="33"/>
      <c r="O27" s="26">
        <v>27</v>
      </c>
      <c r="P27" s="26">
        <v>23</v>
      </c>
      <c r="Q27" s="33">
        <f t="shared" si="3"/>
        <v>50</v>
      </c>
      <c r="R27" s="26"/>
      <c r="S27" s="26"/>
      <c r="T27" s="33"/>
      <c r="U27" s="26">
        <v>29</v>
      </c>
      <c r="V27" s="26">
        <v>21</v>
      </c>
      <c r="W27" s="37">
        <f t="shared" si="4"/>
        <v>50</v>
      </c>
      <c r="X27" s="29"/>
      <c r="Y27" s="29"/>
      <c r="Z27" s="29"/>
      <c r="AA27" s="37">
        <f t="shared" si="5"/>
        <v>264</v>
      </c>
      <c r="AB27" s="26" t="s">
        <v>117</v>
      </c>
      <c r="AC27" s="28"/>
    </row>
    <row r="28" spans="1:29" ht="18.75" customHeight="1" x14ac:dyDescent="0.3">
      <c r="A28" s="26">
        <v>20</v>
      </c>
      <c r="B28" s="27" t="s">
        <v>329</v>
      </c>
      <c r="C28" s="26">
        <v>43</v>
      </c>
      <c r="D28" s="26">
        <v>47</v>
      </c>
      <c r="E28" s="33">
        <f t="shared" si="0"/>
        <v>90</v>
      </c>
      <c r="F28" s="26">
        <v>48</v>
      </c>
      <c r="G28" s="26">
        <v>49</v>
      </c>
      <c r="H28" s="33">
        <f t="shared" si="1"/>
        <v>97</v>
      </c>
      <c r="I28" s="26">
        <v>25</v>
      </c>
      <c r="J28" s="26">
        <v>35</v>
      </c>
      <c r="K28" s="33">
        <f t="shared" si="2"/>
        <v>60</v>
      </c>
      <c r="L28" s="26"/>
      <c r="M28" s="26"/>
      <c r="N28" s="33"/>
      <c r="O28" s="26">
        <v>25</v>
      </c>
      <c r="P28" s="26">
        <v>27</v>
      </c>
      <c r="Q28" s="33">
        <f t="shared" si="3"/>
        <v>52</v>
      </c>
      <c r="R28" s="26"/>
      <c r="S28" s="26"/>
      <c r="T28" s="33"/>
      <c r="U28" s="26">
        <v>44</v>
      </c>
      <c r="V28" s="26">
        <v>45</v>
      </c>
      <c r="W28" s="37">
        <f t="shared" si="4"/>
        <v>89</v>
      </c>
      <c r="X28" s="29"/>
      <c r="Y28" s="29"/>
      <c r="Z28" s="29"/>
      <c r="AA28" s="37">
        <f t="shared" si="5"/>
        <v>388</v>
      </c>
      <c r="AB28" s="26" t="s">
        <v>117</v>
      </c>
      <c r="AC28" s="28"/>
    </row>
    <row r="29" spans="1:29" ht="18.75" customHeight="1" x14ac:dyDescent="0.3">
      <c r="A29" s="5" t="s">
        <v>116</v>
      </c>
      <c r="B29" s="5"/>
      <c r="C29" s="5"/>
      <c r="D29" s="5"/>
      <c r="E29" s="5"/>
      <c r="F29" s="5"/>
      <c r="G29" s="5" t="s">
        <v>468</v>
      </c>
      <c r="H29" s="5"/>
      <c r="I29" s="5"/>
      <c r="J29" s="5"/>
      <c r="K29" s="5"/>
      <c r="L29" s="5"/>
      <c r="M29" s="5"/>
      <c r="N29" s="5"/>
      <c r="O29" s="5" t="s">
        <v>82</v>
      </c>
      <c r="P29" s="5"/>
      <c r="Q29" s="5"/>
      <c r="R29" s="5"/>
      <c r="S29" s="5"/>
      <c r="T29" s="5"/>
      <c r="U29" s="5" t="s">
        <v>83</v>
      </c>
      <c r="V29" s="5"/>
      <c r="AB29" s="5" t="s">
        <v>84</v>
      </c>
      <c r="AC29" s="5"/>
    </row>
    <row r="30" spans="1:29" ht="18.75" customHeight="1" x14ac:dyDescent="0.3">
      <c r="A30" s="5" t="s">
        <v>89</v>
      </c>
      <c r="B30" s="5"/>
      <c r="C30" s="5"/>
      <c r="D30" s="5"/>
      <c r="E30" s="5"/>
      <c r="F30" s="5" t="s">
        <v>90</v>
      </c>
      <c r="G30" s="5"/>
      <c r="H30" s="5"/>
      <c r="I30" s="5"/>
      <c r="J30" s="5"/>
      <c r="K30" s="5"/>
      <c r="L30" s="5"/>
      <c r="M30" s="5"/>
      <c r="N30" s="5" t="s">
        <v>462</v>
      </c>
      <c r="O30" s="5"/>
      <c r="P30" s="5"/>
      <c r="Q30" s="5"/>
      <c r="R30" s="5"/>
      <c r="S30" s="5"/>
      <c r="T30" s="5" t="s">
        <v>463</v>
      </c>
      <c r="U30" s="5"/>
      <c r="V30" s="5"/>
      <c r="AB30" s="5" t="s">
        <v>85</v>
      </c>
      <c r="AC30" s="5"/>
    </row>
    <row r="31" spans="1:29" ht="18.75" customHeight="1" x14ac:dyDescent="0.3">
      <c r="A31" s="5" t="s">
        <v>466</v>
      </c>
      <c r="B31" s="5"/>
      <c r="C31" s="5"/>
      <c r="D31" s="5"/>
      <c r="E31" s="5"/>
      <c r="F31" s="5" t="s">
        <v>91</v>
      </c>
      <c r="G31" s="5"/>
      <c r="H31" s="5"/>
      <c r="I31" s="5"/>
      <c r="J31" s="5"/>
      <c r="K31" s="5"/>
      <c r="L31" s="5"/>
      <c r="M31" s="5"/>
      <c r="N31" s="5" t="s">
        <v>94</v>
      </c>
      <c r="O31" s="5"/>
      <c r="P31" s="5"/>
      <c r="Q31" s="5"/>
      <c r="R31" s="5"/>
      <c r="S31" s="5"/>
      <c r="T31" s="5" t="s">
        <v>97</v>
      </c>
      <c r="U31" s="5"/>
      <c r="V31" s="5"/>
      <c r="AB31" s="5" t="s">
        <v>99</v>
      </c>
      <c r="AC31" s="5"/>
    </row>
    <row r="32" spans="1:29" ht="18.75" customHeight="1" x14ac:dyDescent="0.3">
      <c r="A32" s="5" t="s">
        <v>89</v>
      </c>
      <c r="B32" s="5"/>
      <c r="C32" s="5"/>
      <c r="D32" s="5"/>
      <c r="E32" s="5"/>
      <c r="F32" s="5" t="s">
        <v>92</v>
      </c>
      <c r="G32" s="5"/>
      <c r="H32" s="5"/>
      <c r="I32" s="5"/>
      <c r="J32" s="5"/>
      <c r="K32" s="5"/>
      <c r="L32" s="5"/>
      <c r="M32" s="5"/>
      <c r="N32" s="5" t="s">
        <v>95</v>
      </c>
      <c r="O32" s="5"/>
      <c r="P32" s="5"/>
      <c r="Q32" s="5"/>
      <c r="R32" s="5"/>
      <c r="S32" s="5"/>
      <c r="T32" s="5" t="s">
        <v>98</v>
      </c>
      <c r="U32" s="5"/>
      <c r="V32" s="5"/>
      <c r="AC32" s="5"/>
    </row>
    <row r="33" spans="1:29" ht="22.5" customHeight="1" x14ac:dyDescent="0.3"/>
    <row r="36" spans="1:29" x14ac:dyDescent="0.3">
      <c r="B36" s="15" t="s">
        <v>494</v>
      </c>
      <c r="M36" s="6" t="s">
        <v>467</v>
      </c>
      <c r="AB36" s="5" t="s">
        <v>456</v>
      </c>
    </row>
    <row r="37" spans="1:29" x14ac:dyDescent="0.3">
      <c r="B37" s="15" t="s">
        <v>81</v>
      </c>
      <c r="AB37" s="5" t="s">
        <v>100</v>
      </c>
    </row>
    <row r="38" spans="1:29" x14ac:dyDescent="0.3">
      <c r="B38" s="15" t="s">
        <v>459</v>
      </c>
      <c r="AB38" s="5" t="s">
        <v>438</v>
      </c>
    </row>
    <row r="39" spans="1:29" x14ac:dyDescent="0.3">
      <c r="B39" s="15" t="s">
        <v>460</v>
      </c>
      <c r="K39" s="5"/>
      <c r="AB39" s="5" t="s">
        <v>103</v>
      </c>
    </row>
    <row r="40" spans="1:29" x14ac:dyDescent="0.3">
      <c r="AB40" s="5" t="s">
        <v>464</v>
      </c>
    </row>
    <row r="41" spans="1:29" x14ac:dyDescent="0.3">
      <c r="C41" s="5" t="s">
        <v>482</v>
      </c>
    </row>
    <row r="42" spans="1:29" ht="15.6" customHeight="1" x14ac:dyDescent="0.3">
      <c r="A42" s="57" t="s">
        <v>0</v>
      </c>
      <c r="B42" s="66" t="s">
        <v>469</v>
      </c>
      <c r="C42" s="60" t="s">
        <v>458</v>
      </c>
      <c r="D42" s="61"/>
      <c r="E42" s="62"/>
      <c r="F42" s="60" t="s">
        <v>1</v>
      </c>
      <c r="G42" s="61"/>
      <c r="H42" s="62"/>
      <c r="I42" s="60" t="s">
        <v>2</v>
      </c>
      <c r="J42" s="61"/>
      <c r="K42" s="62"/>
      <c r="L42" s="60" t="s">
        <v>8</v>
      </c>
      <c r="M42" s="61"/>
      <c r="N42" s="62"/>
      <c r="O42" s="60" t="s">
        <v>3</v>
      </c>
      <c r="P42" s="61"/>
      <c r="Q42" s="62"/>
      <c r="R42" s="31"/>
      <c r="S42" s="31" t="s">
        <v>4</v>
      </c>
      <c r="T42" s="31"/>
      <c r="U42" s="60" t="s">
        <v>5</v>
      </c>
      <c r="V42" s="61"/>
      <c r="W42" s="62"/>
      <c r="X42" s="57" t="s">
        <v>16</v>
      </c>
      <c r="Y42" s="57" t="s">
        <v>17</v>
      </c>
      <c r="Z42" s="57" t="s">
        <v>18</v>
      </c>
      <c r="AA42" s="57" t="s">
        <v>19</v>
      </c>
      <c r="AB42" s="57" t="s">
        <v>20</v>
      </c>
      <c r="AC42" s="57" t="s">
        <v>21</v>
      </c>
    </row>
    <row r="43" spans="1:29" ht="55.2" x14ac:dyDescent="0.25">
      <c r="A43" s="58"/>
      <c r="B43" s="67"/>
      <c r="C43" s="32" t="s">
        <v>6</v>
      </c>
      <c r="D43" s="32" t="s">
        <v>461</v>
      </c>
      <c r="E43" s="32" t="s">
        <v>7</v>
      </c>
      <c r="F43" s="32" t="s">
        <v>6</v>
      </c>
      <c r="G43" s="32" t="s">
        <v>461</v>
      </c>
      <c r="H43" s="32" t="s">
        <v>7</v>
      </c>
      <c r="I43" s="32" t="s">
        <v>6</v>
      </c>
      <c r="J43" s="32" t="s">
        <v>461</v>
      </c>
      <c r="K43" s="32" t="s">
        <v>7</v>
      </c>
      <c r="L43" s="32" t="s">
        <v>6</v>
      </c>
      <c r="M43" s="32" t="s">
        <v>461</v>
      </c>
      <c r="N43" s="32" t="s">
        <v>7</v>
      </c>
      <c r="O43" s="32" t="s">
        <v>6</v>
      </c>
      <c r="P43" s="32" t="s">
        <v>461</v>
      </c>
      <c r="Q43" s="32" t="s">
        <v>7</v>
      </c>
      <c r="R43" s="32" t="s">
        <v>6</v>
      </c>
      <c r="S43" s="32" t="s">
        <v>461</v>
      </c>
      <c r="T43" s="32" t="s">
        <v>7</v>
      </c>
      <c r="U43" s="32" t="s">
        <v>6</v>
      </c>
      <c r="V43" s="32" t="s">
        <v>461</v>
      </c>
      <c r="W43" s="32" t="s">
        <v>7</v>
      </c>
      <c r="X43" s="58"/>
      <c r="Y43" s="58"/>
      <c r="Z43" s="58"/>
      <c r="AA43" s="58"/>
      <c r="AB43" s="58"/>
      <c r="AC43" s="58"/>
    </row>
    <row r="44" spans="1:29" x14ac:dyDescent="0.3">
      <c r="A44" s="59"/>
      <c r="B44" s="68"/>
      <c r="C44" s="33">
        <v>50</v>
      </c>
      <c r="D44" s="33">
        <v>50</v>
      </c>
      <c r="E44" s="33">
        <v>100</v>
      </c>
      <c r="F44" s="33">
        <v>50</v>
      </c>
      <c r="G44" s="33">
        <v>50</v>
      </c>
      <c r="H44" s="33">
        <v>100</v>
      </c>
      <c r="I44" s="33">
        <v>50</v>
      </c>
      <c r="J44" s="33">
        <v>50</v>
      </c>
      <c r="K44" s="33">
        <v>100</v>
      </c>
      <c r="L44" s="33">
        <v>50</v>
      </c>
      <c r="M44" s="33">
        <v>50</v>
      </c>
      <c r="N44" s="33">
        <v>100</v>
      </c>
      <c r="O44" s="33">
        <v>50</v>
      </c>
      <c r="P44" s="33">
        <v>50</v>
      </c>
      <c r="Q44" s="33">
        <v>100</v>
      </c>
      <c r="R44" s="33">
        <v>50</v>
      </c>
      <c r="S44" s="33">
        <v>50</v>
      </c>
      <c r="T44" s="33">
        <v>100</v>
      </c>
      <c r="U44" s="33">
        <v>50</v>
      </c>
      <c r="V44" s="33">
        <v>50</v>
      </c>
      <c r="W44" s="33">
        <v>100</v>
      </c>
      <c r="X44" s="59"/>
      <c r="Y44" s="59"/>
      <c r="Z44" s="59"/>
      <c r="AA44" s="59"/>
      <c r="AB44" s="59"/>
      <c r="AC44" s="59"/>
    </row>
    <row r="45" spans="1:29" x14ac:dyDescent="0.3">
      <c r="A45" s="26">
        <v>21</v>
      </c>
      <c r="B45" s="27" t="s">
        <v>332</v>
      </c>
      <c r="C45" s="26">
        <v>46</v>
      </c>
      <c r="D45" s="26">
        <v>44</v>
      </c>
      <c r="E45" s="33">
        <f t="shared" ref="E45:E64" si="6">SUM(C45:D45)</f>
        <v>90</v>
      </c>
      <c r="F45" s="26">
        <v>45</v>
      </c>
      <c r="G45" s="26">
        <v>44</v>
      </c>
      <c r="H45" s="33">
        <f t="shared" ref="H45:H64" si="7">SUM(F45:G45)</f>
        <v>89</v>
      </c>
      <c r="I45" s="26">
        <v>32</v>
      </c>
      <c r="J45" s="26">
        <v>29</v>
      </c>
      <c r="K45" s="33">
        <f t="shared" ref="K45:K64" si="8">SUM(I45:J45)</f>
        <v>61</v>
      </c>
      <c r="L45" s="26"/>
      <c r="M45" s="26"/>
      <c r="N45" s="33"/>
      <c r="O45" s="26">
        <v>41</v>
      </c>
      <c r="P45" s="26">
        <v>44</v>
      </c>
      <c r="Q45" s="33">
        <f t="shared" ref="Q45:Q64" si="9">SUM(O45:P45)</f>
        <v>85</v>
      </c>
      <c r="R45" s="26"/>
      <c r="S45" s="26"/>
      <c r="T45" s="33"/>
      <c r="U45" s="26">
        <v>44</v>
      </c>
      <c r="V45" s="26">
        <v>40</v>
      </c>
      <c r="W45" s="37">
        <f t="shared" ref="W45:W64" si="10">SUM(U45:V45)</f>
        <v>84</v>
      </c>
      <c r="X45" s="29"/>
      <c r="Y45" s="29"/>
      <c r="Z45" s="29"/>
      <c r="AA45" s="37">
        <f t="shared" ref="AA45:AA64" si="11">SUM(W45,Q45,K45,H45,E45)</f>
        <v>409</v>
      </c>
      <c r="AB45" s="26" t="s">
        <v>117</v>
      </c>
      <c r="AC45" s="28"/>
    </row>
    <row r="46" spans="1:29" x14ac:dyDescent="0.3">
      <c r="A46" s="26">
        <v>22</v>
      </c>
      <c r="B46" s="27" t="s">
        <v>330</v>
      </c>
      <c r="C46" s="26">
        <v>49</v>
      </c>
      <c r="D46" s="26">
        <v>50</v>
      </c>
      <c r="E46" s="33">
        <f t="shared" si="6"/>
        <v>99</v>
      </c>
      <c r="F46" s="26">
        <v>50</v>
      </c>
      <c r="G46" s="26">
        <v>50</v>
      </c>
      <c r="H46" s="33">
        <f t="shared" si="7"/>
        <v>100</v>
      </c>
      <c r="I46" s="26">
        <v>48</v>
      </c>
      <c r="J46" s="26">
        <v>49</v>
      </c>
      <c r="K46" s="33">
        <f t="shared" si="8"/>
        <v>97</v>
      </c>
      <c r="L46" s="26"/>
      <c r="M46" s="26"/>
      <c r="N46" s="33"/>
      <c r="O46" s="26">
        <v>44</v>
      </c>
      <c r="P46" s="26">
        <v>46</v>
      </c>
      <c r="Q46" s="33">
        <f t="shared" si="9"/>
        <v>90</v>
      </c>
      <c r="R46" s="26"/>
      <c r="S46" s="26"/>
      <c r="T46" s="33"/>
      <c r="U46" s="26">
        <v>50</v>
      </c>
      <c r="V46" s="26">
        <v>50</v>
      </c>
      <c r="W46" s="37">
        <f t="shared" si="10"/>
        <v>100</v>
      </c>
      <c r="X46" s="29"/>
      <c r="Y46" s="29"/>
      <c r="Z46" s="29"/>
      <c r="AA46" s="37">
        <f t="shared" si="11"/>
        <v>486</v>
      </c>
      <c r="AB46" s="26" t="s">
        <v>117</v>
      </c>
      <c r="AC46" s="28"/>
    </row>
    <row r="47" spans="1:29" x14ac:dyDescent="0.3">
      <c r="A47" s="26">
        <v>23</v>
      </c>
      <c r="B47" s="27" t="s">
        <v>331</v>
      </c>
      <c r="C47" s="26">
        <v>28</v>
      </c>
      <c r="D47" s="26">
        <v>31</v>
      </c>
      <c r="E47" s="33">
        <f t="shared" si="6"/>
        <v>59</v>
      </c>
      <c r="F47" s="26">
        <v>25</v>
      </c>
      <c r="G47" s="26">
        <v>28</v>
      </c>
      <c r="H47" s="33">
        <f t="shared" si="7"/>
        <v>53</v>
      </c>
      <c r="I47" s="26">
        <v>28</v>
      </c>
      <c r="J47" s="26">
        <v>41</v>
      </c>
      <c r="K47" s="33">
        <f t="shared" si="8"/>
        <v>69</v>
      </c>
      <c r="L47" s="26"/>
      <c r="M47" s="26"/>
      <c r="N47" s="33"/>
      <c r="O47" s="26">
        <v>28</v>
      </c>
      <c r="P47" s="26">
        <v>31</v>
      </c>
      <c r="Q47" s="33">
        <f t="shared" si="9"/>
        <v>59</v>
      </c>
      <c r="R47" s="26"/>
      <c r="S47" s="26"/>
      <c r="T47" s="33"/>
      <c r="U47" s="26">
        <v>27</v>
      </c>
      <c r="V47" s="26">
        <v>28</v>
      </c>
      <c r="W47" s="37">
        <f t="shared" si="10"/>
        <v>55</v>
      </c>
      <c r="X47" s="29"/>
      <c r="Y47" s="29"/>
      <c r="Z47" s="29"/>
      <c r="AA47" s="37">
        <f t="shared" si="11"/>
        <v>295</v>
      </c>
      <c r="AB47" s="26" t="s">
        <v>117</v>
      </c>
      <c r="AC47" s="28"/>
    </row>
    <row r="48" spans="1:29" x14ac:dyDescent="0.3">
      <c r="A48" s="26">
        <v>24</v>
      </c>
      <c r="B48" s="27" t="s">
        <v>448</v>
      </c>
      <c r="C48" s="26">
        <v>31</v>
      </c>
      <c r="D48" s="26">
        <v>19</v>
      </c>
      <c r="E48" s="33">
        <f t="shared" si="6"/>
        <v>50</v>
      </c>
      <c r="F48" s="26">
        <v>30</v>
      </c>
      <c r="G48" s="26">
        <v>31</v>
      </c>
      <c r="H48" s="33">
        <f t="shared" si="7"/>
        <v>61</v>
      </c>
      <c r="I48" s="26">
        <v>40</v>
      </c>
      <c r="J48" s="26">
        <v>41</v>
      </c>
      <c r="K48" s="33">
        <f t="shared" si="8"/>
        <v>81</v>
      </c>
      <c r="L48" s="26"/>
      <c r="M48" s="26"/>
      <c r="N48" s="33"/>
      <c r="O48" s="26">
        <v>27</v>
      </c>
      <c r="P48" s="26">
        <v>42</v>
      </c>
      <c r="Q48" s="33">
        <f t="shared" si="9"/>
        <v>69</v>
      </c>
      <c r="R48" s="26"/>
      <c r="S48" s="26"/>
      <c r="T48" s="33"/>
      <c r="U48" s="26">
        <v>27</v>
      </c>
      <c r="V48" s="26">
        <v>24</v>
      </c>
      <c r="W48" s="37">
        <f t="shared" si="10"/>
        <v>51</v>
      </c>
      <c r="X48" s="29"/>
      <c r="Y48" s="29"/>
      <c r="Z48" s="29"/>
      <c r="AA48" s="37">
        <f t="shared" si="11"/>
        <v>312</v>
      </c>
      <c r="AB48" s="26" t="s">
        <v>117</v>
      </c>
      <c r="AC48" s="28"/>
    </row>
    <row r="49" spans="1:29" x14ac:dyDescent="0.3">
      <c r="A49" s="26">
        <v>25</v>
      </c>
      <c r="B49" s="27" t="s">
        <v>337</v>
      </c>
      <c r="C49" s="26">
        <v>29</v>
      </c>
      <c r="D49" s="26">
        <v>36</v>
      </c>
      <c r="E49" s="33">
        <f t="shared" si="6"/>
        <v>65</v>
      </c>
      <c r="F49" s="26">
        <v>26</v>
      </c>
      <c r="G49" s="26">
        <v>28</v>
      </c>
      <c r="H49" s="33">
        <f t="shared" si="7"/>
        <v>54</v>
      </c>
      <c r="I49" s="26">
        <v>32</v>
      </c>
      <c r="J49" s="26">
        <v>45</v>
      </c>
      <c r="K49" s="33">
        <f t="shared" si="8"/>
        <v>77</v>
      </c>
      <c r="L49" s="26"/>
      <c r="M49" s="26"/>
      <c r="N49" s="33"/>
      <c r="O49" s="26">
        <v>30</v>
      </c>
      <c r="P49" s="26">
        <v>29</v>
      </c>
      <c r="Q49" s="33">
        <f t="shared" si="9"/>
        <v>59</v>
      </c>
      <c r="R49" s="26"/>
      <c r="S49" s="26"/>
      <c r="T49" s="33"/>
      <c r="U49" s="26">
        <v>28</v>
      </c>
      <c r="V49" s="26">
        <v>45</v>
      </c>
      <c r="W49" s="37">
        <f t="shared" si="10"/>
        <v>73</v>
      </c>
      <c r="X49" s="29"/>
      <c r="Y49" s="29"/>
      <c r="Z49" s="29"/>
      <c r="AA49" s="37">
        <f t="shared" si="11"/>
        <v>328</v>
      </c>
      <c r="AB49" s="26" t="s">
        <v>117</v>
      </c>
      <c r="AC49" s="28"/>
    </row>
    <row r="50" spans="1:29" x14ac:dyDescent="0.3">
      <c r="A50" s="26">
        <v>26</v>
      </c>
      <c r="B50" s="27" t="s">
        <v>338</v>
      </c>
      <c r="C50" s="26">
        <v>40</v>
      </c>
      <c r="D50" s="26">
        <v>43</v>
      </c>
      <c r="E50" s="33">
        <f t="shared" si="6"/>
        <v>83</v>
      </c>
      <c r="F50" s="26">
        <v>36</v>
      </c>
      <c r="G50" s="26">
        <v>29</v>
      </c>
      <c r="H50" s="33">
        <f t="shared" si="7"/>
        <v>65</v>
      </c>
      <c r="I50" s="26">
        <v>41</v>
      </c>
      <c r="J50" s="26">
        <v>36</v>
      </c>
      <c r="K50" s="33">
        <f t="shared" si="8"/>
        <v>77</v>
      </c>
      <c r="L50" s="26"/>
      <c r="M50" s="26"/>
      <c r="N50" s="33"/>
      <c r="O50" s="26">
        <v>40</v>
      </c>
      <c r="P50" s="26">
        <v>43</v>
      </c>
      <c r="Q50" s="33">
        <f t="shared" si="9"/>
        <v>83</v>
      </c>
      <c r="R50" s="26"/>
      <c r="S50" s="26"/>
      <c r="T50" s="33"/>
      <c r="U50" s="26">
        <v>41</v>
      </c>
      <c r="V50" s="26">
        <v>40</v>
      </c>
      <c r="W50" s="37">
        <f t="shared" si="10"/>
        <v>81</v>
      </c>
      <c r="X50" s="29"/>
      <c r="Y50" s="29"/>
      <c r="Z50" s="29"/>
      <c r="AA50" s="37">
        <f t="shared" si="11"/>
        <v>389</v>
      </c>
      <c r="AB50" s="26" t="s">
        <v>117</v>
      </c>
      <c r="AC50" s="28"/>
    </row>
    <row r="51" spans="1:29" x14ac:dyDescent="0.3">
      <c r="A51" s="26">
        <v>27</v>
      </c>
      <c r="B51" s="27" t="s">
        <v>339</v>
      </c>
      <c r="C51" s="26">
        <v>48</v>
      </c>
      <c r="D51" s="26">
        <v>48</v>
      </c>
      <c r="E51" s="33">
        <f t="shared" si="6"/>
        <v>96</v>
      </c>
      <c r="F51" s="26">
        <v>49</v>
      </c>
      <c r="G51" s="26">
        <v>49</v>
      </c>
      <c r="H51" s="33">
        <f t="shared" si="7"/>
        <v>98</v>
      </c>
      <c r="I51" s="26">
        <v>40</v>
      </c>
      <c r="J51" s="26">
        <v>46</v>
      </c>
      <c r="K51" s="33">
        <f t="shared" si="8"/>
        <v>86</v>
      </c>
      <c r="L51" s="26"/>
      <c r="M51" s="26"/>
      <c r="N51" s="33"/>
      <c r="O51" s="26">
        <v>48</v>
      </c>
      <c r="P51" s="26">
        <v>47</v>
      </c>
      <c r="Q51" s="33">
        <f t="shared" si="9"/>
        <v>95</v>
      </c>
      <c r="R51" s="26"/>
      <c r="S51" s="26"/>
      <c r="T51" s="33"/>
      <c r="U51" s="26">
        <v>48</v>
      </c>
      <c r="V51" s="26">
        <v>50</v>
      </c>
      <c r="W51" s="37">
        <f t="shared" si="10"/>
        <v>98</v>
      </c>
      <c r="X51" s="29"/>
      <c r="Y51" s="29"/>
      <c r="Z51" s="29"/>
      <c r="AA51" s="37">
        <f t="shared" si="11"/>
        <v>473</v>
      </c>
      <c r="AB51" s="26" t="s">
        <v>117</v>
      </c>
      <c r="AC51" s="28"/>
    </row>
    <row r="52" spans="1:29" x14ac:dyDescent="0.3">
      <c r="A52" s="26">
        <v>28</v>
      </c>
      <c r="B52" s="27" t="s">
        <v>341</v>
      </c>
      <c r="C52" s="26">
        <v>48</v>
      </c>
      <c r="D52" s="26">
        <v>50</v>
      </c>
      <c r="E52" s="33">
        <f t="shared" si="6"/>
        <v>98</v>
      </c>
      <c r="F52" s="26">
        <v>49</v>
      </c>
      <c r="G52" s="26">
        <v>49</v>
      </c>
      <c r="H52" s="33">
        <f t="shared" si="7"/>
        <v>98</v>
      </c>
      <c r="I52" s="26">
        <v>48</v>
      </c>
      <c r="J52" s="26">
        <v>50</v>
      </c>
      <c r="K52" s="33">
        <f t="shared" si="8"/>
        <v>98</v>
      </c>
      <c r="L52" s="26"/>
      <c r="M52" s="26"/>
      <c r="N52" s="33"/>
      <c r="O52" s="26">
        <v>44</v>
      </c>
      <c r="P52" s="26">
        <v>47</v>
      </c>
      <c r="Q52" s="33">
        <f t="shared" si="9"/>
        <v>91</v>
      </c>
      <c r="R52" s="26"/>
      <c r="S52" s="26"/>
      <c r="T52" s="33"/>
      <c r="U52" s="26">
        <v>48</v>
      </c>
      <c r="V52" s="26">
        <v>50</v>
      </c>
      <c r="W52" s="37">
        <f t="shared" si="10"/>
        <v>98</v>
      </c>
      <c r="X52" s="29"/>
      <c r="Y52" s="29"/>
      <c r="Z52" s="29"/>
      <c r="AA52" s="37">
        <f t="shared" si="11"/>
        <v>483</v>
      </c>
      <c r="AB52" s="26" t="s">
        <v>117</v>
      </c>
      <c r="AC52" s="28"/>
    </row>
    <row r="53" spans="1:29" ht="19.5" customHeight="1" x14ac:dyDescent="0.3">
      <c r="A53" s="26">
        <v>29</v>
      </c>
      <c r="B53" s="27" t="s">
        <v>487</v>
      </c>
      <c r="C53" s="26">
        <v>49</v>
      </c>
      <c r="D53" s="26">
        <v>50</v>
      </c>
      <c r="E53" s="33">
        <f t="shared" si="6"/>
        <v>99</v>
      </c>
      <c r="F53" s="26">
        <v>50</v>
      </c>
      <c r="G53" s="26">
        <v>50</v>
      </c>
      <c r="H53" s="33">
        <f t="shared" si="7"/>
        <v>100</v>
      </c>
      <c r="I53" s="26">
        <v>50</v>
      </c>
      <c r="J53" s="26">
        <v>50</v>
      </c>
      <c r="K53" s="33">
        <f t="shared" si="8"/>
        <v>100</v>
      </c>
      <c r="L53" s="26"/>
      <c r="M53" s="26"/>
      <c r="N53" s="33"/>
      <c r="O53" s="26">
        <v>50</v>
      </c>
      <c r="P53" s="26">
        <v>50</v>
      </c>
      <c r="Q53" s="33">
        <f t="shared" si="9"/>
        <v>100</v>
      </c>
      <c r="R53" s="26"/>
      <c r="S53" s="26"/>
      <c r="T53" s="33"/>
      <c r="U53" s="26">
        <v>49</v>
      </c>
      <c r="V53" s="26">
        <v>50</v>
      </c>
      <c r="W53" s="37">
        <f t="shared" si="10"/>
        <v>99</v>
      </c>
      <c r="X53" s="29"/>
      <c r="Y53" s="29"/>
      <c r="Z53" s="29"/>
      <c r="AA53" s="37">
        <f t="shared" si="11"/>
        <v>498</v>
      </c>
      <c r="AB53" s="26" t="s">
        <v>117</v>
      </c>
      <c r="AC53" s="28"/>
    </row>
    <row r="54" spans="1:29" ht="19.5" customHeight="1" x14ac:dyDescent="0.3">
      <c r="A54" s="26">
        <v>30</v>
      </c>
      <c r="B54" s="27" t="s">
        <v>488</v>
      </c>
      <c r="C54" s="26">
        <v>47</v>
      </c>
      <c r="D54" s="26">
        <v>44</v>
      </c>
      <c r="E54" s="33">
        <f t="shared" si="6"/>
        <v>91</v>
      </c>
      <c r="F54" s="26">
        <v>45</v>
      </c>
      <c r="G54" s="26">
        <v>47</v>
      </c>
      <c r="H54" s="33">
        <f t="shared" si="7"/>
        <v>92</v>
      </c>
      <c r="I54" s="26">
        <v>50</v>
      </c>
      <c r="J54" s="26">
        <v>44</v>
      </c>
      <c r="K54" s="33">
        <f t="shared" si="8"/>
        <v>94</v>
      </c>
      <c r="L54" s="26"/>
      <c r="M54" s="26"/>
      <c r="N54" s="33"/>
      <c r="O54" s="26">
        <v>48</v>
      </c>
      <c r="P54" s="26">
        <v>48</v>
      </c>
      <c r="Q54" s="33">
        <f t="shared" si="9"/>
        <v>96</v>
      </c>
      <c r="R54" s="26"/>
      <c r="S54" s="26"/>
      <c r="T54" s="33"/>
      <c r="U54" s="26">
        <v>42</v>
      </c>
      <c r="V54" s="26">
        <v>48</v>
      </c>
      <c r="W54" s="37">
        <f t="shared" si="10"/>
        <v>90</v>
      </c>
      <c r="X54" s="29"/>
      <c r="Y54" s="29"/>
      <c r="Z54" s="29"/>
      <c r="AA54" s="37">
        <f t="shared" si="11"/>
        <v>463</v>
      </c>
      <c r="AB54" s="26" t="s">
        <v>117</v>
      </c>
      <c r="AC54" s="28"/>
    </row>
    <row r="55" spans="1:29" ht="19.5" customHeight="1" x14ac:dyDescent="0.3">
      <c r="A55" s="26">
        <v>31</v>
      </c>
      <c r="B55" s="27" t="s">
        <v>342</v>
      </c>
      <c r="C55" s="26">
        <v>42</v>
      </c>
      <c r="D55" s="26">
        <v>43</v>
      </c>
      <c r="E55" s="33">
        <f t="shared" si="6"/>
        <v>85</v>
      </c>
      <c r="F55" s="26">
        <v>50</v>
      </c>
      <c r="G55" s="26">
        <v>35</v>
      </c>
      <c r="H55" s="33">
        <f t="shared" si="7"/>
        <v>85</v>
      </c>
      <c r="I55" s="26">
        <v>47</v>
      </c>
      <c r="J55" s="26">
        <v>42</v>
      </c>
      <c r="K55" s="33">
        <f t="shared" si="8"/>
        <v>89</v>
      </c>
      <c r="L55" s="26"/>
      <c r="M55" s="26"/>
      <c r="N55" s="33"/>
      <c r="O55" s="26">
        <v>47</v>
      </c>
      <c r="P55" s="26">
        <v>50</v>
      </c>
      <c r="Q55" s="33">
        <f t="shared" si="9"/>
        <v>97</v>
      </c>
      <c r="R55" s="26"/>
      <c r="S55" s="26"/>
      <c r="T55" s="33"/>
      <c r="U55" s="26">
        <v>48</v>
      </c>
      <c r="V55" s="26">
        <v>49</v>
      </c>
      <c r="W55" s="37">
        <f t="shared" si="10"/>
        <v>97</v>
      </c>
      <c r="X55" s="29"/>
      <c r="Y55" s="29"/>
      <c r="Z55" s="29"/>
      <c r="AA55" s="37">
        <f t="shared" si="11"/>
        <v>453</v>
      </c>
      <c r="AB55" s="26" t="s">
        <v>117</v>
      </c>
      <c r="AC55" s="28"/>
    </row>
    <row r="56" spans="1:29" ht="19.5" customHeight="1" x14ac:dyDescent="0.3">
      <c r="A56" s="26">
        <v>32</v>
      </c>
      <c r="B56" s="27" t="s">
        <v>343</v>
      </c>
      <c r="C56" s="26">
        <v>42</v>
      </c>
      <c r="D56" s="26">
        <v>47</v>
      </c>
      <c r="E56" s="33">
        <f t="shared" si="6"/>
        <v>89</v>
      </c>
      <c r="F56" s="26">
        <v>50</v>
      </c>
      <c r="G56" s="26">
        <v>50</v>
      </c>
      <c r="H56" s="33">
        <f t="shared" si="7"/>
        <v>100</v>
      </c>
      <c r="I56" s="26">
        <v>37</v>
      </c>
      <c r="J56" s="26">
        <v>43</v>
      </c>
      <c r="K56" s="33">
        <f t="shared" si="8"/>
        <v>80</v>
      </c>
      <c r="L56" s="26"/>
      <c r="M56" s="26"/>
      <c r="N56" s="33"/>
      <c r="O56" s="26">
        <v>45</v>
      </c>
      <c r="P56" s="26">
        <v>45</v>
      </c>
      <c r="Q56" s="33">
        <f t="shared" si="9"/>
        <v>90</v>
      </c>
      <c r="R56" s="26"/>
      <c r="S56" s="26"/>
      <c r="T56" s="33"/>
      <c r="U56" s="26">
        <v>46</v>
      </c>
      <c r="V56" s="26">
        <v>49</v>
      </c>
      <c r="W56" s="37">
        <f t="shared" si="10"/>
        <v>95</v>
      </c>
      <c r="X56" s="29"/>
      <c r="Y56" s="29"/>
      <c r="Z56" s="29"/>
      <c r="AA56" s="37">
        <f t="shared" si="11"/>
        <v>454</v>
      </c>
      <c r="AB56" s="26" t="s">
        <v>117</v>
      </c>
      <c r="AC56" s="28"/>
    </row>
    <row r="57" spans="1:29" ht="19.5" customHeight="1" x14ac:dyDescent="0.3">
      <c r="A57" s="26">
        <v>33</v>
      </c>
      <c r="B57" s="27" t="s">
        <v>347</v>
      </c>
      <c r="C57" s="26">
        <v>28</v>
      </c>
      <c r="D57" s="26">
        <v>22</v>
      </c>
      <c r="E57" s="33">
        <f t="shared" si="6"/>
        <v>50</v>
      </c>
      <c r="F57" s="26">
        <v>31</v>
      </c>
      <c r="G57" s="26">
        <v>30</v>
      </c>
      <c r="H57" s="33">
        <f t="shared" si="7"/>
        <v>61</v>
      </c>
      <c r="I57" s="26">
        <v>43</v>
      </c>
      <c r="J57" s="26">
        <v>49</v>
      </c>
      <c r="K57" s="33">
        <f t="shared" si="8"/>
        <v>92</v>
      </c>
      <c r="L57" s="26"/>
      <c r="M57" s="26"/>
      <c r="N57" s="33"/>
      <c r="O57" s="26">
        <v>45</v>
      </c>
      <c r="P57" s="26">
        <v>35</v>
      </c>
      <c r="Q57" s="33">
        <f t="shared" si="9"/>
        <v>80</v>
      </c>
      <c r="R57" s="26"/>
      <c r="S57" s="26"/>
      <c r="T57" s="33"/>
      <c r="U57" s="26">
        <v>31</v>
      </c>
      <c r="V57" s="26">
        <v>22</v>
      </c>
      <c r="W57" s="37">
        <f t="shared" si="10"/>
        <v>53</v>
      </c>
      <c r="X57" s="29"/>
      <c r="Y57" s="29"/>
      <c r="Z57" s="29"/>
      <c r="AA57" s="37">
        <f t="shared" si="11"/>
        <v>336</v>
      </c>
      <c r="AB57" s="26" t="s">
        <v>117</v>
      </c>
      <c r="AC57" s="28"/>
    </row>
    <row r="58" spans="1:29" ht="19.5" customHeight="1" x14ac:dyDescent="0.3">
      <c r="A58" s="26">
        <v>34</v>
      </c>
      <c r="B58" s="27" t="s">
        <v>340</v>
      </c>
      <c r="C58" s="26">
        <v>50</v>
      </c>
      <c r="D58" s="26">
        <v>50</v>
      </c>
      <c r="E58" s="33">
        <f t="shared" si="6"/>
        <v>100</v>
      </c>
      <c r="F58" s="26">
        <v>50</v>
      </c>
      <c r="G58" s="26">
        <v>50</v>
      </c>
      <c r="H58" s="33">
        <f t="shared" si="7"/>
        <v>100</v>
      </c>
      <c r="I58" s="26">
        <v>43</v>
      </c>
      <c r="J58" s="26">
        <v>46</v>
      </c>
      <c r="K58" s="33">
        <f t="shared" si="8"/>
        <v>89</v>
      </c>
      <c r="L58" s="26"/>
      <c r="M58" s="26"/>
      <c r="N58" s="33"/>
      <c r="O58" s="26">
        <v>44</v>
      </c>
      <c r="P58" s="26">
        <v>48</v>
      </c>
      <c r="Q58" s="33">
        <f t="shared" si="9"/>
        <v>92</v>
      </c>
      <c r="R58" s="26"/>
      <c r="S58" s="26"/>
      <c r="T58" s="33"/>
      <c r="U58" s="26">
        <v>50</v>
      </c>
      <c r="V58" s="26">
        <v>50</v>
      </c>
      <c r="W58" s="37">
        <f t="shared" si="10"/>
        <v>100</v>
      </c>
      <c r="X58" s="29"/>
      <c r="Y58" s="29"/>
      <c r="Z58" s="29"/>
      <c r="AA58" s="37">
        <f t="shared" si="11"/>
        <v>481</v>
      </c>
      <c r="AB58" s="26" t="s">
        <v>117</v>
      </c>
      <c r="AC58" s="28"/>
    </row>
    <row r="59" spans="1:29" ht="19.5" customHeight="1" x14ac:dyDescent="0.3">
      <c r="A59" s="26">
        <v>35</v>
      </c>
      <c r="B59" s="27" t="s">
        <v>344</v>
      </c>
      <c r="C59" s="26">
        <v>29</v>
      </c>
      <c r="D59" s="26">
        <v>29</v>
      </c>
      <c r="E59" s="33">
        <f t="shared" si="6"/>
        <v>58</v>
      </c>
      <c r="F59" s="26">
        <v>35</v>
      </c>
      <c r="G59" s="26">
        <v>25</v>
      </c>
      <c r="H59" s="33">
        <f t="shared" si="7"/>
        <v>60</v>
      </c>
      <c r="I59" s="26">
        <v>34</v>
      </c>
      <c r="J59" s="26">
        <v>30</v>
      </c>
      <c r="K59" s="33">
        <f t="shared" si="8"/>
        <v>64</v>
      </c>
      <c r="L59" s="26"/>
      <c r="M59" s="26"/>
      <c r="N59" s="33"/>
      <c r="O59" s="26">
        <v>34</v>
      </c>
      <c r="P59" s="26">
        <v>32</v>
      </c>
      <c r="Q59" s="33">
        <f t="shared" si="9"/>
        <v>66</v>
      </c>
      <c r="R59" s="26"/>
      <c r="S59" s="26"/>
      <c r="T59" s="33"/>
      <c r="U59" s="26">
        <v>44</v>
      </c>
      <c r="V59" s="26">
        <v>25</v>
      </c>
      <c r="W59" s="37">
        <f t="shared" si="10"/>
        <v>69</v>
      </c>
      <c r="X59" s="29"/>
      <c r="Y59" s="29"/>
      <c r="Z59" s="29"/>
      <c r="AA59" s="37">
        <f t="shared" si="11"/>
        <v>317</v>
      </c>
      <c r="AB59" s="26" t="s">
        <v>117</v>
      </c>
      <c r="AC59" s="28"/>
    </row>
    <row r="60" spans="1:29" ht="19.5" customHeight="1" x14ac:dyDescent="0.3">
      <c r="A60" s="26">
        <v>36</v>
      </c>
      <c r="B60" s="27" t="s">
        <v>485</v>
      </c>
      <c r="C60" s="26">
        <v>29</v>
      </c>
      <c r="D60" s="26">
        <v>21</v>
      </c>
      <c r="E60" s="33">
        <f t="shared" si="6"/>
        <v>50</v>
      </c>
      <c r="F60" s="26">
        <v>34</v>
      </c>
      <c r="G60" s="26">
        <v>23</v>
      </c>
      <c r="H60" s="33">
        <f t="shared" si="7"/>
        <v>57</v>
      </c>
      <c r="I60" s="26">
        <v>35</v>
      </c>
      <c r="J60" s="26">
        <v>34</v>
      </c>
      <c r="K60" s="33">
        <f t="shared" si="8"/>
        <v>69</v>
      </c>
      <c r="L60" s="26"/>
      <c r="M60" s="26"/>
      <c r="N60" s="33"/>
      <c r="O60" s="26">
        <v>23</v>
      </c>
      <c r="P60" s="26">
        <v>30</v>
      </c>
      <c r="Q60" s="33">
        <f t="shared" si="9"/>
        <v>53</v>
      </c>
      <c r="R60" s="26"/>
      <c r="S60" s="26"/>
      <c r="T60" s="33"/>
      <c r="U60" s="26">
        <v>24</v>
      </c>
      <c r="V60" s="26">
        <v>27</v>
      </c>
      <c r="W60" s="37">
        <f t="shared" si="10"/>
        <v>51</v>
      </c>
      <c r="X60" s="29"/>
      <c r="Y60" s="29"/>
      <c r="Z60" s="29"/>
      <c r="AA60" s="37">
        <f t="shared" si="11"/>
        <v>280</v>
      </c>
      <c r="AB60" s="26" t="s">
        <v>117</v>
      </c>
      <c r="AC60" s="28"/>
    </row>
    <row r="61" spans="1:29" ht="19.5" customHeight="1" x14ac:dyDescent="0.3">
      <c r="A61" s="26">
        <v>37</v>
      </c>
      <c r="B61" s="27" t="s">
        <v>345</v>
      </c>
      <c r="C61" s="26">
        <v>25</v>
      </c>
      <c r="D61" s="26">
        <v>25</v>
      </c>
      <c r="E61" s="33">
        <f t="shared" si="6"/>
        <v>50</v>
      </c>
      <c r="F61" s="26">
        <v>39</v>
      </c>
      <c r="G61" s="26">
        <v>20</v>
      </c>
      <c r="H61" s="33">
        <f t="shared" si="7"/>
        <v>59</v>
      </c>
      <c r="I61" s="26">
        <v>36</v>
      </c>
      <c r="J61" s="26">
        <v>23</v>
      </c>
      <c r="K61" s="33">
        <f t="shared" si="8"/>
        <v>59</v>
      </c>
      <c r="L61" s="26"/>
      <c r="M61" s="26"/>
      <c r="N61" s="33"/>
      <c r="O61" s="26">
        <v>26</v>
      </c>
      <c r="P61" s="26">
        <v>26</v>
      </c>
      <c r="Q61" s="33">
        <f t="shared" si="9"/>
        <v>52</v>
      </c>
      <c r="R61" s="26"/>
      <c r="S61" s="26"/>
      <c r="T61" s="33"/>
      <c r="U61" s="26">
        <v>27</v>
      </c>
      <c r="V61" s="26">
        <v>29</v>
      </c>
      <c r="W61" s="37">
        <f t="shared" si="10"/>
        <v>56</v>
      </c>
      <c r="X61" s="29"/>
      <c r="Y61" s="29"/>
      <c r="Z61" s="29"/>
      <c r="AA61" s="37">
        <f t="shared" si="11"/>
        <v>276</v>
      </c>
      <c r="AB61" s="26" t="s">
        <v>117</v>
      </c>
      <c r="AC61" s="28"/>
    </row>
    <row r="62" spans="1:29" ht="19.5" customHeight="1" x14ac:dyDescent="0.3">
      <c r="A62" s="26">
        <v>38</v>
      </c>
      <c r="B62" s="27" t="s">
        <v>346</v>
      </c>
      <c r="C62" s="26">
        <v>26</v>
      </c>
      <c r="D62" s="26">
        <v>24</v>
      </c>
      <c r="E62" s="33">
        <f t="shared" si="6"/>
        <v>50</v>
      </c>
      <c r="F62" s="26">
        <v>25</v>
      </c>
      <c r="G62" s="26">
        <v>28</v>
      </c>
      <c r="H62" s="33">
        <f t="shared" si="7"/>
        <v>53</v>
      </c>
      <c r="I62" s="26">
        <v>42</v>
      </c>
      <c r="J62" s="26">
        <v>29</v>
      </c>
      <c r="K62" s="33">
        <f t="shared" si="8"/>
        <v>71</v>
      </c>
      <c r="L62" s="26"/>
      <c r="M62" s="26"/>
      <c r="N62" s="33"/>
      <c r="O62" s="26">
        <v>49</v>
      </c>
      <c r="P62" s="26">
        <v>31</v>
      </c>
      <c r="Q62" s="33">
        <f t="shared" si="9"/>
        <v>80</v>
      </c>
      <c r="R62" s="26"/>
      <c r="S62" s="26"/>
      <c r="T62" s="33"/>
      <c r="U62" s="26">
        <v>29</v>
      </c>
      <c r="V62" s="26">
        <v>25</v>
      </c>
      <c r="W62" s="37">
        <f t="shared" si="10"/>
        <v>54</v>
      </c>
      <c r="X62" s="29"/>
      <c r="Y62" s="29"/>
      <c r="Z62" s="29"/>
      <c r="AA62" s="37">
        <f t="shared" si="11"/>
        <v>308</v>
      </c>
      <c r="AB62" s="26" t="s">
        <v>117</v>
      </c>
      <c r="AC62" s="28"/>
    </row>
    <row r="63" spans="1:29" ht="19.5" customHeight="1" x14ac:dyDescent="0.3">
      <c r="A63" s="26">
        <v>39</v>
      </c>
      <c r="B63" s="27" t="s">
        <v>577</v>
      </c>
      <c r="C63" s="26">
        <v>42</v>
      </c>
      <c r="D63" s="26">
        <v>48</v>
      </c>
      <c r="E63" s="33">
        <f t="shared" si="6"/>
        <v>90</v>
      </c>
      <c r="F63" s="26">
        <v>25</v>
      </c>
      <c r="G63" s="26">
        <v>47</v>
      </c>
      <c r="H63" s="33">
        <f t="shared" si="7"/>
        <v>72</v>
      </c>
      <c r="I63" s="26">
        <v>42</v>
      </c>
      <c r="J63" s="26">
        <v>45</v>
      </c>
      <c r="K63" s="33">
        <f t="shared" si="8"/>
        <v>87</v>
      </c>
      <c r="L63" s="26"/>
      <c r="M63" s="26"/>
      <c r="N63" s="33"/>
      <c r="O63" s="26">
        <v>38</v>
      </c>
      <c r="P63" s="26">
        <v>48</v>
      </c>
      <c r="Q63" s="33">
        <f t="shared" si="9"/>
        <v>86</v>
      </c>
      <c r="R63" s="26"/>
      <c r="S63" s="26"/>
      <c r="T63" s="33"/>
      <c r="U63" s="26">
        <v>44</v>
      </c>
      <c r="V63" s="26">
        <v>35</v>
      </c>
      <c r="W63" s="37">
        <f t="shared" si="10"/>
        <v>79</v>
      </c>
      <c r="X63" s="29"/>
      <c r="Y63" s="29"/>
      <c r="Z63" s="29"/>
      <c r="AA63" s="37">
        <f t="shared" si="11"/>
        <v>414</v>
      </c>
      <c r="AB63" s="26" t="s">
        <v>117</v>
      </c>
      <c r="AC63" s="28"/>
    </row>
    <row r="64" spans="1:29" ht="19.5" customHeight="1" x14ac:dyDescent="0.3">
      <c r="A64" s="26">
        <v>40</v>
      </c>
      <c r="B64" s="27" t="s">
        <v>484</v>
      </c>
      <c r="C64" s="26">
        <v>27</v>
      </c>
      <c r="D64" s="26">
        <v>23</v>
      </c>
      <c r="E64" s="33">
        <f t="shared" si="6"/>
        <v>50</v>
      </c>
      <c r="F64" s="26">
        <v>30</v>
      </c>
      <c r="G64" s="26">
        <v>20</v>
      </c>
      <c r="H64" s="33">
        <f t="shared" si="7"/>
        <v>50</v>
      </c>
      <c r="I64" s="26">
        <v>31</v>
      </c>
      <c r="J64" s="26">
        <v>44</v>
      </c>
      <c r="K64" s="33">
        <f t="shared" si="8"/>
        <v>75</v>
      </c>
      <c r="L64" s="26"/>
      <c r="M64" s="26"/>
      <c r="N64" s="33"/>
      <c r="O64" s="26">
        <v>34</v>
      </c>
      <c r="P64" s="26">
        <v>44</v>
      </c>
      <c r="Q64" s="33">
        <f t="shared" si="9"/>
        <v>78</v>
      </c>
      <c r="R64" s="26"/>
      <c r="S64" s="26"/>
      <c r="T64" s="33"/>
      <c r="U64" s="26">
        <v>27</v>
      </c>
      <c r="V64" s="26">
        <v>25</v>
      </c>
      <c r="W64" s="37">
        <f t="shared" si="10"/>
        <v>52</v>
      </c>
      <c r="X64" s="29"/>
      <c r="Y64" s="29"/>
      <c r="Z64" s="29"/>
      <c r="AA64" s="37">
        <f t="shared" si="11"/>
        <v>305</v>
      </c>
      <c r="AB64" s="26" t="s">
        <v>117</v>
      </c>
      <c r="AC64" s="28"/>
    </row>
    <row r="65" spans="1:29" ht="13.8" customHeight="1" x14ac:dyDescent="0.3">
      <c r="A65" s="5" t="s">
        <v>116</v>
      </c>
      <c r="B65" s="5"/>
      <c r="C65" s="5"/>
      <c r="D65" s="5"/>
      <c r="E65" s="5"/>
      <c r="F65" s="5"/>
      <c r="G65" s="5" t="s">
        <v>468</v>
      </c>
      <c r="H65" s="5"/>
      <c r="I65" s="5"/>
      <c r="J65" s="5"/>
      <c r="K65" s="5"/>
      <c r="L65" s="5"/>
      <c r="M65" s="5"/>
      <c r="N65" s="5"/>
      <c r="O65" s="5" t="s">
        <v>82</v>
      </c>
      <c r="P65" s="5"/>
      <c r="Q65" s="5"/>
      <c r="R65" s="5"/>
      <c r="S65" s="5"/>
      <c r="T65" s="5"/>
      <c r="U65" s="5" t="s">
        <v>83</v>
      </c>
      <c r="V65" s="5"/>
      <c r="AB65" s="5" t="s">
        <v>84</v>
      </c>
    </row>
    <row r="66" spans="1:29" ht="12" customHeight="1" x14ac:dyDescent="0.3">
      <c r="A66" s="5" t="s">
        <v>89</v>
      </c>
      <c r="B66" s="5"/>
      <c r="C66" s="5"/>
      <c r="D66" s="5"/>
      <c r="E66" s="5"/>
      <c r="F66" s="5" t="s">
        <v>90</v>
      </c>
      <c r="G66" s="5"/>
      <c r="H66" s="5"/>
      <c r="I66" s="5"/>
      <c r="J66" s="5"/>
      <c r="K66" s="5"/>
      <c r="L66" s="5"/>
      <c r="M66" s="5"/>
      <c r="N66" s="5" t="s">
        <v>462</v>
      </c>
      <c r="O66" s="5"/>
      <c r="P66" s="5"/>
      <c r="Q66" s="5"/>
      <c r="R66" s="5"/>
      <c r="S66" s="5"/>
      <c r="T66" s="5" t="s">
        <v>465</v>
      </c>
      <c r="U66" s="5"/>
      <c r="V66" s="5"/>
      <c r="AB66" s="5" t="s">
        <v>85</v>
      </c>
    </row>
    <row r="67" spans="1:29" ht="18.600000000000001" customHeight="1" x14ac:dyDescent="0.3">
      <c r="A67" s="5" t="s">
        <v>466</v>
      </c>
      <c r="B67" s="5"/>
      <c r="C67" s="5"/>
      <c r="D67" s="5"/>
      <c r="E67" s="5"/>
      <c r="F67" s="5" t="s">
        <v>91</v>
      </c>
      <c r="G67" s="5"/>
      <c r="H67" s="5"/>
      <c r="I67" s="5"/>
      <c r="J67" s="5"/>
      <c r="K67" s="5"/>
      <c r="L67" s="5"/>
      <c r="M67" s="5"/>
      <c r="N67" s="5" t="s">
        <v>94</v>
      </c>
      <c r="O67" s="5"/>
      <c r="P67" s="5"/>
      <c r="Q67" s="5"/>
      <c r="R67" s="5"/>
      <c r="S67" s="5"/>
      <c r="T67" s="5" t="s">
        <v>97</v>
      </c>
      <c r="U67" s="5"/>
      <c r="V67" s="5"/>
      <c r="AB67" s="5" t="s">
        <v>99</v>
      </c>
    </row>
    <row r="68" spans="1:29" ht="3.6" customHeight="1" x14ac:dyDescent="0.3">
      <c r="A68" s="5" t="s">
        <v>89</v>
      </c>
      <c r="B68" s="5"/>
      <c r="C68" s="5"/>
      <c r="D68" s="5"/>
      <c r="E68" s="5"/>
      <c r="F68" s="5" t="s">
        <v>92</v>
      </c>
      <c r="G68" s="5"/>
      <c r="H68" s="5"/>
      <c r="I68" s="5"/>
      <c r="J68" s="5"/>
      <c r="K68" s="5"/>
      <c r="L68" s="5"/>
      <c r="M68" s="5"/>
      <c r="N68" s="5" t="s">
        <v>95</v>
      </c>
      <c r="O68" s="5"/>
      <c r="P68" s="5"/>
      <c r="Q68" s="5"/>
      <c r="R68" s="5"/>
      <c r="S68" s="5"/>
      <c r="T68" s="5" t="s">
        <v>98</v>
      </c>
      <c r="U68" s="5"/>
      <c r="V68" s="5"/>
    </row>
    <row r="71" spans="1:29" x14ac:dyDescent="0.3">
      <c r="B71" s="15" t="s">
        <v>494</v>
      </c>
      <c r="M71" s="6" t="s">
        <v>467</v>
      </c>
      <c r="AB71" s="5" t="s">
        <v>456</v>
      </c>
    </row>
    <row r="72" spans="1:29" x14ac:dyDescent="0.3">
      <c r="B72" s="15" t="s">
        <v>81</v>
      </c>
      <c r="AB72" s="5" t="s">
        <v>100</v>
      </c>
    </row>
    <row r="73" spans="1:29" x14ac:dyDescent="0.3">
      <c r="B73" s="15" t="s">
        <v>459</v>
      </c>
      <c r="AB73" s="5" t="s">
        <v>438</v>
      </c>
    </row>
    <row r="74" spans="1:29" x14ac:dyDescent="0.3">
      <c r="B74" s="15" t="s">
        <v>460</v>
      </c>
      <c r="K74" s="5"/>
      <c r="AB74" s="5" t="s">
        <v>103</v>
      </c>
      <c r="AC74" s="5" t="s">
        <v>439</v>
      </c>
    </row>
    <row r="75" spans="1:29" x14ac:dyDescent="0.3">
      <c r="AB75" s="5" t="s">
        <v>104</v>
      </c>
    </row>
    <row r="76" spans="1:29" x14ac:dyDescent="0.3">
      <c r="C76" s="5" t="s">
        <v>482</v>
      </c>
    </row>
    <row r="77" spans="1:29" ht="15" customHeight="1" x14ac:dyDescent="0.3">
      <c r="A77" s="57" t="s">
        <v>0</v>
      </c>
      <c r="B77" s="66" t="s">
        <v>469</v>
      </c>
      <c r="C77" s="60" t="s">
        <v>458</v>
      </c>
      <c r="D77" s="61"/>
      <c r="E77" s="62"/>
      <c r="F77" s="60" t="s">
        <v>1</v>
      </c>
      <c r="G77" s="61"/>
      <c r="H77" s="62"/>
      <c r="I77" s="60" t="s">
        <v>2</v>
      </c>
      <c r="J77" s="61"/>
      <c r="K77" s="62"/>
      <c r="L77" s="60" t="s">
        <v>8</v>
      </c>
      <c r="M77" s="61"/>
      <c r="N77" s="62"/>
      <c r="O77" s="60" t="s">
        <v>3</v>
      </c>
      <c r="P77" s="61"/>
      <c r="Q77" s="62"/>
      <c r="R77" s="31"/>
      <c r="S77" s="31" t="s">
        <v>4</v>
      </c>
      <c r="T77" s="31"/>
      <c r="U77" s="60" t="s">
        <v>5</v>
      </c>
      <c r="V77" s="61"/>
      <c r="W77" s="62"/>
      <c r="X77" s="57" t="s">
        <v>16</v>
      </c>
      <c r="Y77" s="57" t="s">
        <v>17</v>
      </c>
      <c r="Z77" s="57" t="s">
        <v>18</v>
      </c>
      <c r="AA77" s="57" t="s">
        <v>19</v>
      </c>
      <c r="AB77" s="57" t="s">
        <v>20</v>
      </c>
      <c r="AC77" s="57" t="s">
        <v>21</v>
      </c>
    </row>
    <row r="78" spans="1:29" ht="55.2" x14ac:dyDescent="0.25">
      <c r="A78" s="58"/>
      <c r="B78" s="67"/>
      <c r="C78" s="32" t="s">
        <v>6</v>
      </c>
      <c r="D78" s="32" t="s">
        <v>461</v>
      </c>
      <c r="E78" s="32" t="s">
        <v>7</v>
      </c>
      <c r="F78" s="32" t="s">
        <v>6</v>
      </c>
      <c r="G78" s="32" t="s">
        <v>461</v>
      </c>
      <c r="H78" s="32" t="s">
        <v>7</v>
      </c>
      <c r="I78" s="32" t="s">
        <v>6</v>
      </c>
      <c r="J78" s="32" t="s">
        <v>461</v>
      </c>
      <c r="K78" s="32" t="s">
        <v>7</v>
      </c>
      <c r="L78" s="32" t="s">
        <v>6</v>
      </c>
      <c r="M78" s="32" t="s">
        <v>461</v>
      </c>
      <c r="N78" s="32" t="s">
        <v>7</v>
      </c>
      <c r="O78" s="32" t="s">
        <v>6</v>
      </c>
      <c r="P78" s="32" t="s">
        <v>461</v>
      </c>
      <c r="Q78" s="32" t="s">
        <v>7</v>
      </c>
      <c r="R78" s="32" t="s">
        <v>6</v>
      </c>
      <c r="S78" s="32" t="s">
        <v>461</v>
      </c>
      <c r="T78" s="32" t="s">
        <v>7</v>
      </c>
      <c r="U78" s="32" t="s">
        <v>6</v>
      </c>
      <c r="V78" s="32" t="s">
        <v>461</v>
      </c>
      <c r="W78" s="32" t="s">
        <v>7</v>
      </c>
      <c r="X78" s="58"/>
      <c r="Y78" s="58"/>
      <c r="Z78" s="58"/>
      <c r="AA78" s="58"/>
      <c r="AB78" s="58"/>
      <c r="AC78" s="58"/>
    </row>
    <row r="79" spans="1:29" x14ac:dyDescent="0.3">
      <c r="A79" s="59"/>
      <c r="B79" s="68"/>
      <c r="C79" s="33">
        <v>50</v>
      </c>
      <c r="D79" s="33">
        <v>50</v>
      </c>
      <c r="E79" s="33">
        <v>100</v>
      </c>
      <c r="F79" s="33">
        <v>50</v>
      </c>
      <c r="G79" s="33">
        <v>50</v>
      </c>
      <c r="H79" s="33">
        <v>100</v>
      </c>
      <c r="I79" s="33">
        <v>50</v>
      </c>
      <c r="J79" s="33">
        <v>50</v>
      </c>
      <c r="K79" s="33">
        <v>100</v>
      </c>
      <c r="L79" s="33">
        <v>50</v>
      </c>
      <c r="M79" s="33">
        <v>50</v>
      </c>
      <c r="N79" s="33">
        <v>100</v>
      </c>
      <c r="O79" s="33">
        <v>50</v>
      </c>
      <c r="P79" s="33">
        <v>50</v>
      </c>
      <c r="Q79" s="33">
        <v>100</v>
      </c>
      <c r="R79" s="33">
        <v>50</v>
      </c>
      <c r="S79" s="33">
        <v>50</v>
      </c>
      <c r="T79" s="33">
        <v>100</v>
      </c>
      <c r="U79" s="33">
        <v>50</v>
      </c>
      <c r="V79" s="33">
        <v>50</v>
      </c>
      <c r="W79" s="33">
        <v>100</v>
      </c>
      <c r="X79" s="59"/>
      <c r="Y79" s="59"/>
      <c r="Z79" s="59"/>
      <c r="AA79" s="59"/>
      <c r="AB79" s="59"/>
      <c r="AC79" s="59"/>
    </row>
    <row r="80" spans="1:29" x14ac:dyDescent="0.3">
      <c r="A80" s="26">
        <v>1</v>
      </c>
      <c r="B80" s="29" t="s">
        <v>381</v>
      </c>
      <c r="C80" s="26">
        <v>50</v>
      </c>
      <c r="D80" s="26">
        <v>45</v>
      </c>
      <c r="E80" s="33">
        <f t="shared" ref="E80:E83" si="12">SUM(C80:D80)</f>
        <v>95</v>
      </c>
      <c r="F80" s="26">
        <v>50</v>
      </c>
      <c r="G80" s="26">
        <v>50</v>
      </c>
      <c r="H80" s="33">
        <f t="shared" ref="H80:H83" si="13">SUM(F80:G80)</f>
        <v>100</v>
      </c>
      <c r="I80" s="26">
        <v>50</v>
      </c>
      <c r="J80" s="26">
        <v>50</v>
      </c>
      <c r="K80" s="33">
        <f t="shared" ref="K80:K83" si="14">SUM(I80:J80)</f>
        <v>100</v>
      </c>
      <c r="L80" s="26"/>
      <c r="M80" s="26"/>
      <c r="N80" s="33"/>
      <c r="O80" s="26">
        <v>50</v>
      </c>
      <c r="P80" s="26">
        <v>50</v>
      </c>
      <c r="Q80" s="26">
        <f t="shared" ref="Q80:Q83" si="15">SUM(O80:P80)</f>
        <v>100</v>
      </c>
      <c r="R80" s="26"/>
      <c r="S80" s="26"/>
      <c r="T80" s="33"/>
      <c r="U80" s="26">
        <v>50</v>
      </c>
      <c r="V80" s="26">
        <v>50</v>
      </c>
      <c r="W80" s="37">
        <f t="shared" ref="W80:W83" si="16">SUM(U80:V80)</f>
        <v>100</v>
      </c>
      <c r="X80" s="29"/>
      <c r="Y80" s="29"/>
      <c r="Z80" s="29"/>
      <c r="AA80" s="37">
        <f t="shared" ref="AA80:AA95" si="17">SUM(W80,Q80,K80,H80,E80)</f>
        <v>495</v>
      </c>
      <c r="AB80" s="26" t="s">
        <v>117</v>
      </c>
      <c r="AC80" s="28"/>
    </row>
    <row r="81" spans="1:29" x14ac:dyDescent="0.3">
      <c r="A81" s="26">
        <v>2</v>
      </c>
      <c r="B81" s="29" t="s">
        <v>489</v>
      </c>
      <c r="C81" s="26">
        <v>38</v>
      </c>
      <c r="D81" s="26">
        <v>42</v>
      </c>
      <c r="E81" s="33">
        <f t="shared" si="12"/>
        <v>80</v>
      </c>
      <c r="F81" s="26">
        <v>36</v>
      </c>
      <c r="G81" s="26">
        <v>38</v>
      </c>
      <c r="H81" s="33">
        <f t="shared" si="13"/>
        <v>74</v>
      </c>
      <c r="I81" s="26">
        <v>41</v>
      </c>
      <c r="J81" s="26">
        <v>39</v>
      </c>
      <c r="K81" s="33">
        <f t="shared" si="14"/>
        <v>80</v>
      </c>
      <c r="L81" s="26"/>
      <c r="M81" s="26"/>
      <c r="N81" s="33"/>
      <c r="O81" s="26">
        <v>32</v>
      </c>
      <c r="P81" s="26">
        <v>45</v>
      </c>
      <c r="Q81" s="26">
        <f t="shared" si="15"/>
        <v>77</v>
      </c>
      <c r="R81" s="26"/>
      <c r="S81" s="26"/>
      <c r="T81" s="33"/>
      <c r="U81" s="26">
        <v>38</v>
      </c>
      <c r="V81" s="26">
        <v>36</v>
      </c>
      <c r="W81" s="37">
        <f t="shared" si="16"/>
        <v>74</v>
      </c>
      <c r="X81" s="29"/>
      <c r="Y81" s="29"/>
      <c r="Z81" s="29"/>
      <c r="AA81" s="37">
        <f t="shared" si="17"/>
        <v>385</v>
      </c>
      <c r="AB81" s="26" t="s">
        <v>117</v>
      </c>
      <c r="AC81" s="28"/>
    </row>
    <row r="82" spans="1:29" x14ac:dyDescent="0.3">
      <c r="A82" s="26">
        <v>3</v>
      </c>
      <c r="B82" s="29" t="s">
        <v>363</v>
      </c>
      <c r="C82" s="26">
        <v>50</v>
      </c>
      <c r="D82" s="26">
        <v>50</v>
      </c>
      <c r="E82" s="33">
        <f t="shared" si="12"/>
        <v>100</v>
      </c>
      <c r="F82" s="26">
        <v>50</v>
      </c>
      <c r="G82" s="26">
        <v>50</v>
      </c>
      <c r="H82" s="33">
        <f t="shared" si="13"/>
        <v>100</v>
      </c>
      <c r="I82" s="26">
        <v>50</v>
      </c>
      <c r="J82" s="26">
        <v>50</v>
      </c>
      <c r="K82" s="33">
        <f t="shared" si="14"/>
        <v>100</v>
      </c>
      <c r="L82" s="26"/>
      <c r="M82" s="26"/>
      <c r="N82" s="33"/>
      <c r="O82" s="26">
        <v>48</v>
      </c>
      <c r="P82" s="26">
        <v>48</v>
      </c>
      <c r="Q82" s="26">
        <f t="shared" si="15"/>
        <v>96</v>
      </c>
      <c r="R82" s="26"/>
      <c r="S82" s="26"/>
      <c r="T82" s="33"/>
      <c r="U82" s="26">
        <v>50</v>
      </c>
      <c r="V82" s="26">
        <v>50</v>
      </c>
      <c r="W82" s="37">
        <f t="shared" si="16"/>
        <v>100</v>
      </c>
      <c r="X82" s="29"/>
      <c r="Y82" s="29"/>
      <c r="Z82" s="29"/>
      <c r="AA82" s="37">
        <f t="shared" si="17"/>
        <v>496</v>
      </c>
      <c r="AB82" s="26" t="s">
        <v>117</v>
      </c>
      <c r="AC82" s="28"/>
    </row>
    <row r="83" spans="1:29" x14ac:dyDescent="0.3">
      <c r="A83" s="26">
        <v>4</v>
      </c>
      <c r="B83" s="29" t="s">
        <v>354</v>
      </c>
      <c r="C83" s="26">
        <v>48</v>
      </c>
      <c r="D83" s="26">
        <v>50</v>
      </c>
      <c r="E83" s="33">
        <f t="shared" si="12"/>
        <v>98</v>
      </c>
      <c r="F83" s="26">
        <v>46</v>
      </c>
      <c r="G83" s="26">
        <v>49</v>
      </c>
      <c r="H83" s="33">
        <f t="shared" si="13"/>
        <v>95</v>
      </c>
      <c r="I83" s="26">
        <v>47</v>
      </c>
      <c r="J83" s="26">
        <v>50</v>
      </c>
      <c r="K83" s="33">
        <f t="shared" si="14"/>
        <v>97</v>
      </c>
      <c r="L83" s="26"/>
      <c r="M83" s="26"/>
      <c r="N83" s="33"/>
      <c r="O83" s="26">
        <v>46</v>
      </c>
      <c r="P83" s="26">
        <v>49</v>
      </c>
      <c r="Q83" s="26">
        <f t="shared" si="15"/>
        <v>95</v>
      </c>
      <c r="R83" s="26"/>
      <c r="S83" s="26"/>
      <c r="T83" s="33"/>
      <c r="U83" s="26">
        <v>47</v>
      </c>
      <c r="V83" s="26">
        <v>50</v>
      </c>
      <c r="W83" s="37">
        <f t="shared" si="16"/>
        <v>97</v>
      </c>
      <c r="X83" s="29"/>
      <c r="Y83" s="29"/>
      <c r="Z83" s="29"/>
      <c r="AA83" s="37">
        <f t="shared" si="17"/>
        <v>482</v>
      </c>
      <c r="AB83" s="26" t="s">
        <v>117</v>
      </c>
      <c r="AC83" s="28"/>
    </row>
    <row r="84" spans="1:29" x14ac:dyDescent="0.3">
      <c r="A84" s="26">
        <v>5</v>
      </c>
      <c r="B84" s="29" t="s">
        <v>366</v>
      </c>
      <c r="C84" s="26">
        <v>38</v>
      </c>
      <c r="D84" s="26">
        <v>29</v>
      </c>
      <c r="E84" s="33">
        <f t="shared" ref="E84:E86" si="18">SUM(C84:D84)</f>
        <v>67</v>
      </c>
      <c r="F84" s="26">
        <v>37</v>
      </c>
      <c r="G84" s="26">
        <v>34</v>
      </c>
      <c r="H84" s="33">
        <f t="shared" ref="H84:H86" si="19">SUM(F84:G84)</f>
        <v>71</v>
      </c>
      <c r="I84" s="26">
        <v>36</v>
      </c>
      <c r="J84" s="26">
        <v>40</v>
      </c>
      <c r="K84" s="33">
        <f t="shared" ref="K84:K86" si="20">SUM(I84:J84)</f>
        <v>76</v>
      </c>
      <c r="L84" s="26"/>
      <c r="M84" s="26"/>
      <c r="N84" s="33"/>
      <c r="O84" s="26">
        <v>36</v>
      </c>
      <c r="P84" s="26">
        <v>36</v>
      </c>
      <c r="Q84" s="26">
        <f t="shared" ref="Q84:Q86" si="21">SUM(O84:P84)</f>
        <v>72</v>
      </c>
      <c r="R84" s="26"/>
      <c r="S84" s="26"/>
      <c r="T84" s="33"/>
      <c r="U84" s="26">
        <v>31</v>
      </c>
      <c r="V84" s="26">
        <v>35</v>
      </c>
      <c r="W84" s="37">
        <f t="shared" ref="W84:W86" si="22">SUM(U84:V84)</f>
        <v>66</v>
      </c>
      <c r="X84" s="29"/>
      <c r="Y84" s="29"/>
      <c r="Z84" s="29"/>
      <c r="AA84" s="37">
        <f t="shared" si="17"/>
        <v>352</v>
      </c>
      <c r="AB84" s="26" t="s">
        <v>117</v>
      </c>
      <c r="AC84" s="28"/>
    </row>
    <row r="85" spans="1:29" x14ac:dyDescent="0.3">
      <c r="A85" s="26">
        <v>6</v>
      </c>
      <c r="B85" s="29" t="s">
        <v>490</v>
      </c>
      <c r="C85" s="26">
        <v>44</v>
      </c>
      <c r="D85" s="26">
        <v>36</v>
      </c>
      <c r="E85" s="33">
        <f t="shared" si="18"/>
        <v>80</v>
      </c>
      <c r="F85" s="26">
        <v>45</v>
      </c>
      <c r="G85" s="26">
        <v>35</v>
      </c>
      <c r="H85" s="33">
        <f t="shared" si="19"/>
        <v>80</v>
      </c>
      <c r="I85" s="26">
        <v>42</v>
      </c>
      <c r="J85" s="26">
        <v>48</v>
      </c>
      <c r="K85" s="33">
        <f t="shared" si="20"/>
        <v>90</v>
      </c>
      <c r="L85" s="26"/>
      <c r="M85" s="26"/>
      <c r="N85" s="33"/>
      <c r="O85" s="26">
        <v>46</v>
      </c>
      <c r="P85" s="26">
        <v>48</v>
      </c>
      <c r="Q85" s="26">
        <f t="shared" si="21"/>
        <v>94</v>
      </c>
      <c r="R85" s="26"/>
      <c r="S85" s="26"/>
      <c r="T85" s="33"/>
      <c r="U85" s="26">
        <v>45</v>
      </c>
      <c r="V85" s="26">
        <v>47</v>
      </c>
      <c r="W85" s="37">
        <f t="shared" si="22"/>
        <v>92</v>
      </c>
      <c r="X85" s="29"/>
      <c r="Y85" s="29"/>
      <c r="Z85" s="29"/>
      <c r="AA85" s="37">
        <f t="shared" si="17"/>
        <v>436</v>
      </c>
      <c r="AB85" s="26" t="s">
        <v>117</v>
      </c>
      <c r="AC85" s="28"/>
    </row>
    <row r="86" spans="1:29" x14ac:dyDescent="0.3">
      <c r="A86" s="26">
        <v>7</v>
      </c>
      <c r="B86" s="29" t="s">
        <v>369</v>
      </c>
      <c r="C86" s="26">
        <v>49</v>
      </c>
      <c r="D86" s="26">
        <v>50</v>
      </c>
      <c r="E86" s="33">
        <f t="shared" si="18"/>
        <v>99</v>
      </c>
      <c r="F86" s="26">
        <v>50</v>
      </c>
      <c r="G86" s="26">
        <v>50</v>
      </c>
      <c r="H86" s="33">
        <f t="shared" si="19"/>
        <v>100</v>
      </c>
      <c r="I86" s="26">
        <v>50</v>
      </c>
      <c r="J86" s="26">
        <v>50</v>
      </c>
      <c r="K86" s="33">
        <f t="shared" si="20"/>
        <v>100</v>
      </c>
      <c r="L86" s="26"/>
      <c r="M86" s="26"/>
      <c r="N86" s="33"/>
      <c r="O86" s="26">
        <v>48</v>
      </c>
      <c r="P86" s="26">
        <v>49</v>
      </c>
      <c r="Q86" s="26">
        <f t="shared" si="21"/>
        <v>97</v>
      </c>
      <c r="R86" s="26"/>
      <c r="S86" s="26"/>
      <c r="T86" s="33"/>
      <c r="U86" s="26">
        <v>46</v>
      </c>
      <c r="V86" s="26">
        <v>50</v>
      </c>
      <c r="W86" s="37">
        <f t="shared" si="22"/>
        <v>96</v>
      </c>
      <c r="X86" s="29"/>
      <c r="Y86" s="29"/>
      <c r="Z86" s="29"/>
      <c r="AA86" s="37">
        <f t="shared" si="17"/>
        <v>492</v>
      </c>
      <c r="AB86" s="26" t="s">
        <v>117</v>
      </c>
      <c r="AC86" s="28"/>
    </row>
    <row r="87" spans="1:29" x14ac:dyDescent="0.3">
      <c r="A87" s="26">
        <v>8</v>
      </c>
      <c r="B87" s="27" t="s">
        <v>355</v>
      </c>
      <c r="C87" s="26">
        <v>29</v>
      </c>
      <c r="D87" s="26">
        <v>28</v>
      </c>
      <c r="E87" s="33">
        <f t="shared" ref="E87:E94" si="23">SUM(C87:D87)</f>
        <v>57</v>
      </c>
      <c r="F87" s="26">
        <v>29</v>
      </c>
      <c r="G87" s="26">
        <v>28</v>
      </c>
      <c r="H87" s="33">
        <f t="shared" ref="H87:H94" si="24">SUM(F87:G87)</f>
        <v>57</v>
      </c>
      <c r="I87" s="26">
        <v>30</v>
      </c>
      <c r="J87" s="26">
        <v>31</v>
      </c>
      <c r="K87" s="33">
        <f t="shared" ref="K87:K94" si="25">SUM(I87:J87)</f>
        <v>61</v>
      </c>
      <c r="L87" s="26"/>
      <c r="M87" s="26"/>
      <c r="N87" s="33"/>
      <c r="O87" s="26">
        <v>29</v>
      </c>
      <c r="P87" s="26">
        <v>34</v>
      </c>
      <c r="Q87" s="26">
        <f t="shared" ref="Q87:Q94" si="26">SUM(O87:P87)</f>
        <v>63</v>
      </c>
      <c r="R87" s="26"/>
      <c r="S87" s="26"/>
      <c r="T87" s="33"/>
      <c r="U87" s="26">
        <v>30</v>
      </c>
      <c r="V87" s="26">
        <v>28</v>
      </c>
      <c r="W87" s="37">
        <f t="shared" ref="W87:W94" si="27">SUM(U87:V87)</f>
        <v>58</v>
      </c>
      <c r="X87" s="29"/>
      <c r="Y87" s="29"/>
      <c r="Z87" s="29"/>
      <c r="AA87" s="37">
        <f t="shared" si="17"/>
        <v>296</v>
      </c>
      <c r="AB87" s="26" t="s">
        <v>117</v>
      </c>
      <c r="AC87" s="28"/>
    </row>
    <row r="88" spans="1:29" x14ac:dyDescent="0.3">
      <c r="A88" s="26">
        <v>9</v>
      </c>
      <c r="B88" s="27" t="s">
        <v>360</v>
      </c>
      <c r="C88" s="26">
        <v>29</v>
      </c>
      <c r="D88" s="26">
        <v>29</v>
      </c>
      <c r="E88" s="33">
        <f t="shared" si="23"/>
        <v>58</v>
      </c>
      <c r="F88" s="26">
        <v>29</v>
      </c>
      <c r="G88" s="26">
        <v>32</v>
      </c>
      <c r="H88" s="33">
        <f t="shared" si="24"/>
        <v>61</v>
      </c>
      <c r="I88" s="26">
        <v>29</v>
      </c>
      <c r="J88" s="26">
        <v>31</v>
      </c>
      <c r="K88" s="33">
        <f t="shared" si="25"/>
        <v>60</v>
      </c>
      <c r="L88" s="26"/>
      <c r="M88" s="26"/>
      <c r="N88" s="33"/>
      <c r="O88" s="26">
        <v>31</v>
      </c>
      <c r="P88" s="26">
        <v>32</v>
      </c>
      <c r="Q88" s="26">
        <f t="shared" si="26"/>
        <v>63</v>
      </c>
      <c r="R88" s="26"/>
      <c r="S88" s="26"/>
      <c r="T88" s="33"/>
      <c r="U88" s="26">
        <v>31</v>
      </c>
      <c r="V88" s="26">
        <v>28</v>
      </c>
      <c r="W88" s="37">
        <f t="shared" si="27"/>
        <v>59</v>
      </c>
      <c r="X88" s="29"/>
      <c r="Y88" s="29"/>
      <c r="Z88" s="29"/>
      <c r="AA88" s="37">
        <f t="shared" si="17"/>
        <v>301</v>
      </c>
      <c r="AB88" s="26" t="s">
        <v>117</v>
      </c>
      <c r="AC88" s="28"/>
    </row>
    <row r="89" spans="1:29" x14ac:dyDescent="0.3">
      <c r="A89" s="26">
        <v>10</v>
      </c>
      <c r="B89" s="27" t="s">
        <v>353</v>
      </c>
      <c r="C89" s="26">
        <v>50</v>
      </c>
      <c r="D89" s="26">
        <v>50</v>
      </c>
      <c r="E89" s="33">
        <f t="shared" si="23"/>
        <v>100</v>
      </c>
      <c r="F89" s="26">
        <v>47</v>
      </c>
      <c r="G89" s="26">
        <v>50</v>
      </c>
      <c r="H89" s="33">
        <f t="shared" si="24"/>
        <v>97</v>
      </c>
      <c r="I89" s="26">
        <v>48</v>
      </c>
      <c r="J89" s="26">
        <v>50</v>
      </c>
      <c r="K89" s="33">
        <f t="shared" si="25"/>
        <v>98</v>
      </c>
      <c r="L89" s="26"/>
      <c r="M89" s="26"/>
      <c r="N89" s="33"/>
      <c r="O89" s="26">
        <v>46</v>
      </c>
      <c r="P89" s="26">
        <v>48</v>
      </c>
      <c r="Q89" s="26">
        <f t="shared" si="26"/>
        <v>94</v>
      </c>
      <c r="R89" s="26"/>
      <c r="S89" s="26"/>
      <c r="T89" s="33"/>
      <c r="U89" s="26">
        <v>48</v>
      </c>
      <c r="V89" s="26">
        <v>50</v>
      </c>
      <c r="W89" s="37">
        <f t="shared" si="27"/>
        <v>98</v>
      </c>
      <c r="X89" s="29"/>
      <c r="Y89" s="29"/>
      <c r="Z89" s="29"/>
      <c r="AA89" s="37">
        <f t="shared" si="17"/>
        <v>487</v>
      </c>
      <c r="AB89" s="26" t="s">
        <v>117</v>
      </c>
      <c r="AC89" s="28"/>
    </row>
    <row r="90" spans="1:29" x14ac:dyDescent="0.3">
      <c r="A90" s="26">
        <v>11</v>
      </c>
      <c r="B90" s="27" t="s">
        <v>350</v>
      </c>
      <c r="C90" s="26">
        <v>32</v>
      </c>
      <c r="D90" s="26">
        <v>33</v>
      </c>
      <c r="E90" s="33">
        <f t="shared" si="23"/>
        <v>65</v>
      </c>
      <c r="F90" s="26">
        <v>29</v>
      </c>
      <c r="G90" s="26">
        <v>30</v>
      </c>
      <c r="H90" s="33">
        <f t="shared" si="24"/>
        <v>59</v>
      </c>
      <c r="I90" s="26">
        <v>29</v>
      </c>
      <c r="J90" s="26">
        <v>29</v>
      </c>
      <c r="K90" s="33">
        <f t="shared" si="25"/>
        <v>58</v>
      </c>
      <c r="L90" s="26"/>
      <c r="M90" s="26"/>
      <c r="N90" s="33"/>
      <c r="O90" s="26">
        <v>30</v>
      </c>
      <c r="P90" s="26">
        <v>34</v>
      </c>
      <c r="Q90" s="26">
        <f t="shared" si="26"/>
        <v>64</v>
      </c>
      <c r="R90" s="26"/>
      <c r="S90" s="26"/>
      <c r="T90" s="33"/>
      <c r="U90" s="26">
        <v>29</v>
      </c>
      <c r="V90" s="26">
        <v>39</v>
      </c>
      <c r="W90" s="37">
        <f t="shared" si="27"/>
        <v>68</v>
      </c>
      <c r="X90" s="29"/>
      <c r="Y90" s="29"/>
      <c r="Z90" s="29"/>
      <c r="AA90" s="37">
        <f t="shared" si="17"/>
        <v>314</v>
      </c>
      <c r="AB90" s="26" t="s">
        <v>117</v>
      </c>
      <c r="AC90" s="28"/>
    </row>
    <row r="91" spans="1:29" x14ac:dyDescent="0.3">
      <c r="A91" s="26">
        <v>12</v>
      </c>
      <c r="B91" s="27" t="s">
        <v>359</v>
      </c>
      <c r="C91" s="26">
        <v>49</v>
      </c>
      <c r="D91" s="26">
        <v>49</v>
      </c>
      <c r="E91" s="33">
        <f t="shared" si="23"/>
        <v>98</v>
      </c>
      <c r="F91" s="26">
        <v>49</v>
      </c>
      <c r="G91" s="26">
        <v>44</v>
      </c>
      <c r="H91" s="33">
        <f t="shared" si="24"/>
        <v>93</v>
      </c>
      <c r="I91" s="26">
        <v>50</v>
      </c>
      <c r="J91" s="26">
        <v>50</v>
      </c>
      <c r="K91" s="33">
        <f t="shared" si="25"/>
        <v>100</v>
      </c>
      <c r="L91" s="26"/>
      <c r="M91" s="26"/>
      <c r="N91" s="33"/>
      <c r="O91" s="26">
        <v>45</v>
      </c>
      <c r="P91" s="26">
        <v>48</v>
      </c>
      <c r="Q91" s="26">
        <f t="shared" si="26"/>
        <v>93</v>
      </c>
      <c r="R91" s="26"/>
      <c r="S91" s="26"/>
      <c r="T91" s="33"/>
      <c r="U91" s="26">
        <v>50</v>
      </c>
      <c r="V91" s="26">
        <v>49</v>
      </c>
      <c r="W91" s="37">
        <f t="shared" si="27"/>
        <v>99</v>
      </c>
      <c r="X91" s="29"/>
      <c r="Y91" s="29"/>
      <c r="Z91" s="29"/>
      <c r="AA91" s="37">
        <f t="shared" si="17"/>
        <v>483</v>
      </c>
      <c r="AB91" s="26" t="s">
        <v>117</v>
      </c>
      <c r="AC91" s="28"/>
    </row>
    <row r="92" spans="1:29" x14ac:dyDescent="0.3">
      <c r="A92" s="26">
        <v>13</v>
      </c>
      <c r="B92" s="27" t="s">
        <v>491</v>
      </c>
      <c r="C92" s="26">
        <v>47</v>
      </c>
      <c r="D92" s="26">
        <v>42</v>
      </c>
      <c r="E92" s="33">
        <f t="shared" si="23"/>
        <v>89</v>
      </c>
      <c r="F92" s="26">
        <v>39</v>
      </c>
      <c r="G92" s="26">
        <v>47</v>
      </c>
      <c r="H92" s="33">
        <f t="shared" si="24"/>
        <v>86</v>
      </c>
      <c r="I92" s="26">
        <v>42</v>
      </c>
      <c r="J92" s="26">
        <v>49</v>
      </c>
      <c r="K92" s="33">
        <f t="shared" si="25"/>
        <v>91</v>
      </c>
      <c r="L92" s="26"/>
      <c r="M92" s="26"/>
      <c r="N92" s="33"/>
      <c r="O92" s="26">
        <v>46</v>
      </c>
      <c r="P92" s="26">
        <v>49</v>
      </c>
      <c r="Q92" s="26">
        <f t="shared" si="26"/>
        <v>95</v>
      </c>
      <c r="R92" s="26"/>
      <c r="S92" s="26"/>
      <c r="T92" s="33"/>
      <c r="U92" s="26">
        <v>40</v>
      </c>
      <c r="V92" s="26">
        <v>48</v>
      </c>
      <c r="W92" s="37">
        <f t="shared" si="27"/>
        <v>88</v>
      </c>
      <c r="X92" s="29"/>
      <c r="Y92" s="29"/>
      <c r="Z92" s="29"/>
      <c r="AA92" s="37">
        <f t="shared" si="17"/>
        <v>449</v>
      </c>
      <c r="AB92" s="26" t="s">
        <v>117</v>
      </c>
      <c r="AC92" s="28"/>
    </row>
    <row r="93" spans="1:29" x14ac:dyDescent="0.3">
      <c r="A93" s="26">
        <v>14</v>
      </c>
      <c r="B93" s="27" t="s">
        <v>365</v>
      </c>
      <c r="C93" s="26">
        <v>45</v>
      </c>
      <c r="D93" s="26">
        <v>40</v>
      </c>
      <c r="E93" s="33">
        <f t="shared" ref="E93" si="28">SUM(C93:D93)</f>
        <v>85</v>
      </c>
      <c r="F93" s="26">
        <v>45</v>
      </c>
      <c r="G93" s="26">
        <v>43</v>
      </c>
      <c r="H93" s="33">
        <f t="shared" ref="H93" si="29">SUM(F93:G93)</f>
        <v>88</v>
      </c>
      <c r="I93" s="26">
        <v>46</v>
      </c>
      <c r="J93" s="26">
        <v>50</v>
      </c>
      <c r="K93" s="33">
        <f t="shared" ref="K93" si="30">SUM(I93:J93)</f>
        <v>96</v>
      </c>
      <c r="L93" s="26"/>
      <c r="M93" s="26"/>
      <c r="N93" s="33"/>
      <c r="O93" s="26">
        <v>46</v>
      </c>
      <c r="P93" s="26">
        <v>50</v>
      </c>
      <c r="Q93" s="26">
        <f t="shared" ref="Q93" si="31">SUM(O93:P93)</f>
        <v>96</v>
      </c>
      <c r="R93" s="26"/>
      <c r="S93" s="26"/>
      <c r="T93" s="33"/>
      <c r="U93" s="26">
        <v>46</v>
      </c>
      <c r="V93" s="26">
        <v>38</v>
      </c>
      <c r="W93" s="37">
        <f t="shared" ref="W93" si="32">SUM(U93:V93)</f>
        <v>84</v>
      </c>
      <c r="X93" s="29"/>
      <c r="Y93" s="29"/>
      <c r="Z93" s="29"/>
      <c r="AA93" s="37">
        <f t="shared" si="17"/>
        <v>449</v>
      </c>
      <c r="AB93" s="26" t="s">
        <v>117</v>
      </c>
      <c r="AC93" s="28"/>
    </row>
    <row r="94" spans="1:29" x14ac:dyDescent="0.3">
      <c r="A94" s="26">
        <v>15</v>
      </c>
      <c r="B94" s="27" t="s">
        <v>351</v>
      </c>
      <c r="C94" s="26">
        <v>47</v>
      </c>
      <c r="D94" s="26">
        <v>45</v>
      </c>
      <c r="E94" s="33">
        <f t="shared" si="23"/>
        <v>92</v>
      </c>
      <c r="F94" s="26">
        <v>46</v>
      </c>
      <c r="G94" s="26">
        <v>50</v>
      </c>
      <c r="H94" s="33">
        <f t="shared" si="24"/>
        <v>96</v>
      </c>
      <c r="I94" s="26">
        <v>46</v>
      </c>
      <c r="J94" s="26">
        <v>49</v>
      </c>
      <c r="K94" s="33">
        <f t="shared" si="25"/>
        <v>95</v>
      </c>
      <c r="L94" s="26"/>
      <c r="M94" s="26"/>
      <c r="N94" s="33"/>
      <c r="O94" s="26">
        <v>38</v>
      </c>
      <c r="P94" s="26">
        <v>46</v>
      </c>
      <c r="Q94" s="26">
        <f t="shared" si="26"/>
        <v>84</v>
      </c>
      <c r="R94" s="26"/>
      <c r="S94" s="26"/>
      <c r="T94" s="33"/>
      <c r="U94" s="26">
        <v>45</v>
      </c>
      <c r="V94" s="26">
        <v>45</v>
      </c>
      <c r="W94" s="37">
        <f t="shared" si="27"/>
        <v>90</v>
      </c>
      <c r="X94" s="29"/>
      <c r="Y94" s="29"/>
      <c r="Z94" s="29"/>
      <c r="AA94" s="37">
        <f t="shared" si="17"/>
        <v>457</v>
      </c>
      <c r="AB94" s="26" t="s">
        <v>117</v>
      </c>
      <c r="AC94" s="28"/>
    </row>
    <row r="95" spans="1:29" x14ac:dyDescent="0.3">
      <c r="A95" s="26">
        <v>16</v>
      </c>
      <c r="B95" s="29" t="s">
        <v>368</v>
      </c>
      <c r="C95" s="26">
        <v>29</v>
      </c>
      <c r="D95" s="26">
        <v>33</v>
      </c>
      <c r="E95" s="33">
        <f t="shared" ref="E95" si="33">SUM(C95:D95)</f>
        <v>62</v>
      </c>
      <c r="F95" s="26">
        <v>30</v>
      </c>
      <c r="G95" s="26">
        <v>31</v>
      </c>
      <c r="H95" s="33">
        <f t="shared" ref="H95" si="34">SUM(F95:G95)</f>
        <v>61</v>
      </c>
      <c r="I95" s="26">
        <v>29</v>
      </c>
      <c r="J95" s="26">
        <v>34</v>
      </c>
      <c r="K95" s="33">
        <f t="shared" ref="K95" si="35">SUM(I95:J95)</f>
        <v>63</v>
      </c>
      <c r="L95" s="26"/>
      <c r="M95" s="26"/>
      <c r="N95" s="33"/>
      <c r="O95" s="26">
        <v>31</v>
      </c>
      <c r="P95" s="26">
        <v>34</v>
      </c>
      <c r="Q95" s="26">
        <f t="shared" ref="Q95" si="36">SUM(O95:P95)</f>
        <v>65</v>
      </c>
      <c r="R95" s="26"/>
      <c r="S95" s="26"/>
      <c r="T95" s="33"/>
      <c r="U95" s="26">
        <v>30</v>
      </c>
      <c r="V95" s="26">
        <v>32</v>
      </c>
      <c r="W95" s="37">
        <f t="shared" ref="W95" si="37">SUM(U95:V95)</f>
        <v>62</v>
      </c>
      <c r="X95" s="29"/>
      <c r="Y95" s="29"/>
      <c r="Z95" s="29"/>
      <c r="AA95" s="37">
        <f t="shared" si="17"/>
        <v>313</v>
      </c>
      <c r="AB95" s="26" t="s">
        <v>117</v>
      </c>
      <c r="AC95" s="28"/>
    </row>
    <row r="96" spans="1:29" x14ac:dyDescent="0.3">
      <c r="A96" s="26">
        <v>17</v>
      </c>
      <c r="B96" s="29" t="s">
        <v>349</v>
      </c>
      <c r="C96" s="26">
        <v>30</v>
      </c>
      <c r="D96" s="26">
        <v>29</v>
      </c>
      <c r="E96" s="33">
        <f t="shared" ref="E96" si="38">SUM(C96:D96)</f>
        <v>59</v>
      </c>
      <c r="F96" s="26">
        <v>29</v>
      </c>
      <c r="G96" s="26">
        <v>29</v>
      </c>
      <c r="H96" s="33">
        <f t="shared" ref="H96" si="39">SUM(F96:G96)</f>
        <v>58</v>
      </c>
      <c r="I96" s="26">
        <v>30</v>
      </c>
      <c r="J96" s="26">
        <v>30</v>
      </c>
      <c r="K96" s="33">
        <f t="shared" ref="K96" si="40">SUM(I96:J96)</f>
        <v>60</v>
      </c>
      <c r="L96" s="26"/>
      <c r="M96" s="26"/>
      <c r="N96" s="33"/>
      <c r="O96" s="26">
        <v>29</v>
      </c>
      <c r="P96" s="26">
        <v>38</v>
      </c>
      <c r="Q96" s="26">
        <f t="shared" ref="Q96" si="41">SUM(O96:P96)</f>
        <v>67</v>
      </c>
      <c r="R96" s="26"/>
      <c r="S96" s="26"/>
      <c r="T96" s="33"/>
      <c r="U96" s="26">
        <v>29</v>
      </c>
      <c r="V96" s="26">
        <v>28</v>
      </c>
      <c r="W96" s="37">
        <f t="shared" ref="W96" si="42">SUM(U96:V96)</f>
        <v>57</v>
      </c>
      <c r="X96" s="29"/>
      <c r="Y96" s="29"/>
      <c r="Z96" s="29"/>
      <c r="AA96" s="37">
        <f t="shared" ref="AA96" si="43">SUM(W96,Q96,K96,H96,E96)</f>
        <v>301</v>
      </c>
      <c r="AB96" s="26" t="s">
        <v>117</v>
      </c>
      <c r="AC96" s="28"/>
    </row>
    <row r="97" spans="1:29" x14ac:dyDescent="0.3">
      <c r="A97" s="26">
        <v>18</v>
      </c>
      <c r="B97" s="29" t="s">
        <v>367</v>
      </c>
      <c r="C97" s="26">
        <v>39</v>
      </c>
      <c r="D97" s="26">
        <v>38</v>
      </c>
      <c r="E97" s="33">
        <f t="shared" ref="E97" si="44">SUM(C97:D97)</f>
        <v>77</v>
      </c>
      <c r="F97" s="26">
        <v>40</v>
      </c>
      <c r="G97" s="26">
        <v>38</v>
      </c>
      <c r="H97" s="33">
        <f t="shared" ref="H97" si="45">SUM(F97:G97)</f>
        <v>78</v>
      </c>
      <c r="I97" s="26">
        <v>33</v>
      </c>
      <c r="J97" s="26">
        <v>48</v>
      </c>
      <c r="K97" s="33">
        <f t="shared" ref="K97" si="46">SUM(I97:J97)</f>
        <v>81</v>
      </c>
      <c r="L97" s="26"/>
      <c r="M97" s="26"/>
      <c r="N97" s="33"/>
      <c r="O97" s="26">
        <v>34</v>
      </c>
      <c r="P97" s="26">
        <v>48</v>
      </c>
      <c r="Q97" s="26">
        <f t="shared" ref="Q97" si="47">SUM(O97:P97)</f>
        <v>82</v>
      </c>
      <c r="R97" s="26"/>
      <c r="S97" s="26"/>
      <c r="T97" s="33"/>
      <c r="U97" s="26">
        <v>46</v>
      </c>
      <c r="V97" s="26">
        <v>50</v>
      </c>
      <c r="W97" s="37">
        <f t="shared" ref="W97" si="48">SUM(U97:V97)</f>
        <v>96</v>
      </c>
      <c r="X97" s="29"/>
      <c r="Y97" s="29"/>
      <c r="Z97" s="29"/>
      <c r="AA97" s="37">
        <f t="shared" ref="AA97:AA99" si="49">SUM(W97,Q97,K97,H97,E97)</f>
        <v>414</v>
      </c>
      <c r="AB97" s="26" t="s">
        <v>117</v>
      </c>
      <c r="AC97" s="28"/>
    </row>
    <row r="98" spans="1:29" x14ac:dyDescent="0.3">
      <c r="A98" s="26">
        <v>19</v>
      </c>
      <c r="B98" s="29" t="s">
        <v>358</v>
      </c>
      <c r="C98" s="26">
        <v>47</v>
      </c>
      <c r="D98" s="26">
        <v>49</v>
      </c>
      <c r="E98" s="33">
        <f t="shared" ref="E98" si="50">SUM(C98:D98)</f>
        <v>96</v>
      </c>
      <c r="F98" s="26">
        <v>46</v>
      </c>
      <c r="G98" s="26">
        <v>50</v>
      </c>
      <c r="H98" s="33">
        <f t="shared" ref="H98" si="51">SUM(F98:G98)</f>
        <v>96</v>
      </c>
      <c r="I98" s="26">
        <v>47</v>
      </c>
      <c r="J98" s="26">
        <v>43</v>
      </c>
      <c r="K98" s="33">
        <f t="shared" ref="K98" si="52">SUM(I98:J98)</f>
        <v>90</v>
      </c>
      <c r="L98" s="26"/>
      <c r="M98" s="26"/>
      <c r="N98" s="33"/>
      <c r="O98" s="26">
        <v>47</v>
      </c>
      <c r="P98" s="26">
        <v>47</v>
      </c>
      <c r="Q98" s="26">
        <f t="shared" ref="Q98" si="53">SUM(O98:P98)</f>
        <v>94</v>
      </c>
      <c r="R98" s="26"/>
      <c r="S98" s="26"/>
      <c r="T98" s="33"/>
      <c r="U98" s="26">
        <v>47</v>
      </c>
      <c r="V98" s="26">
        <v>49</v>
      </c>
      <c r="W98" s="37">
        <f t="shared" ref="W98" si="54">SUM(U98:V98)</f>
        <v>96</v>
      </c>
      <c r="X98" s="29"/>
      <c r="Y98" s="29"/>
      <c r="Z98" s="29"/>
      <c r="AA98" s="37">
        <f t="shared" si="49"/>
        <v>472</v>
      </c>
      <c r="AB98" s="26" t="s">
        <v>117</v>
      </c>
      <c r="AC98" s="28"/>
    </row>
    <row r="99" spans="1:29" x14ac:dyDescent="0.3">
      <c r="A99" s="26">
        <v>20</v>
      </c>
      <c r="B99" s="29" t="s">
        <v>481</v>
      </c>
      <c r="C99" s="26">
        <v>46</v>
      </c>
      <c r="D99" s="26">
        <v>46</v>
      </c>
      <c r="E99" s="33">
        <f t="shared" ref="E99" si="55">SUM(C99:D99)</f>
        <v>92</v>
      </c>
      <c r="F99" s="26">
        <v>45</v>
      </c>
      <c r="G99" s="26">
        <v>41</v>
      </c>
      <c r="H99" s="33">
        <f t="shared" ref="H99" si="56">SUM(F99:G99)</f>
        <v>86</v>
      </c>
      <c r="I99" s="26">
        <v>48</v>
      </c>
      <c r="J99" s="26">
        <v>49</v>
      </c>
      <c r="K99" s="33">
        <f t="shared" ref="K99" si="57">SUM(I99:J99)</f>
        <v>97</v>
      </c>
      <c r="L99" s="26"/>
      <c r="M99" s="26"/>
      <c r="N99" s="33"/>
      <c r="O99" s="26">
        <v>42</v>
      </c>
      <c r="P99" s="26">
        <v>49</v>
      </c>
      <c r="Q99" s="26">
        <f t="shared" ref="Q99" si="58">SUM(O99:P99)</f>
        <v>91</v>
      </c>
      <c r="R99" s="26"/>
      <c r="S99" s="26"/>
      <c r="T99" s="33"/>
      <c r="U99" s="26">
        <v>45</v>
      </c>
      <c r="V99" s="26">
        <v>49</v>
      </c>
      <c r="W99" s="37">
        <f t="shared" ref="W99" si="59">SUM(U99:V99)</f>
        <v>94</v>
      </c>
      <c r="X99" s="29"/>
      <c r="Y99" s="29"/>
      <c r="Z99" s="29"/>
      <c r="AA99" s="37">
        <f t="shared" si="49"/>
        <v>460</v>
      </c>
      <c r="AB99" s="26" t="s">
        <v>117</v>
      </c>
      <c r="AC99" s="28"/>
    </row>
    <row r="100" spans="1:29" x14ac:dyDescent="0.3">
      <c r="A100" s="5" t="s">
        <v>382</v>
      </c>
      <c r="B100" s="5"/>
      <c r="C100" s="5"/>
      <c r="D100" s="5"/>
      <c r="E100" s="5"/>
      <c r="F100" s="5"/>
      <c r="G100" s="5" t="s">
        <v>468</v>
      </c>
      <c r="H100" s="5"/>
      <c r="I100" s="5"/>
      <c r="J100" s="5"/>
      <c r="K100" s="5"/>
      <c r="L100" s="5"/>
      <c r="M100" s="5"/>
      <c r="N100" s="5"/>
      <c r="O100" s="5" t="s">
        <v>82</v>
      </c>
      <c r="P100" s="5"/>
      <c r="Q100" s="5"/>
      <c r="R100" s="5"/>
      <c r="S100" s="5"/>
      <c r="T100" s="5"/>
      <c r="U100" s="5" t="s">
        <v>83</v>
      </c>
      <c r="V100" s="5"/>
      <c r="AB100" s="5" t="s">
        <v>84</v>
      </c>
    </row>
    <row r="101" spans="1:29" x14ac:dyDescent="0.3">
      <c r="A101" s="5" t="s">
        <v>89</v>
      </c>
      <c r="B101" s="5"/>
      <c r="C101" s="5"/>
      <c r="D101" s="5"/>
      <c r="E101" s="5"/>
      <c r="F101" s="5" t="s">
        <v>90</v>
      </c>
      <c r="G101" s="5"/>
      <c r="H101" s="5"/>
      <c r="I101" s="5"/>
      <c r="J101" s="5"/>
      <c r="K101" s="5"/>
      <c r="L101" s="5"/>
      <c r="M101" s="5"/>
      <c r="N101" s="5" t="s">
        <v>462</v>
      </c>
      <c r="O101" s="5"/>
      <c r="P101" s="5"/>
      <c r="Q101" s="5"/>
      <c r="R101" s="5"/>
      <c r="S101" s="5"/>
      <c r="T101" s="5" t="s">
        <v>465</v>
      </c>
      <c r="U101" s="5"/>
      <c r="V101" s="5"/>
      <c r="AB101" s="5" t="s">
        <v>85</v>
      </c>
    </row>
    <row r="102" spans="1:29" x14ac:dyDescent="0.3">
      <c r="A102" s="5" t="s">
        <v>466</v>
      </c>
      <c r="B102" s="5"/>
      <c r="C102" s="5"/>
      <c r="D102" s="5"/>
      <c r="E102" s="5"/>
      <c r="F102" s="5" t="s">
        <v>91</v>
      </c>
      <c r="G102" s="5"/>
      <c r="H102" s="5"/>
      <c r="I102" s="5"/>
      <c r="J102" s="5"/>
      <c r="K102" s="5"/>
      <c r="L102" s="5"/>
      <c r="M102" s="5"/>
      <c r="N102" s="5" t="s">
        <v>94</v>
      </c>
      <c r="O102" s="5"/>
      <c r="P102" s="5"/>
      <c r="Q102" s="5"/>
      <c r="R102" s="5"/>
      <c r="S102" s="5"/>
      <c r="T102" s="5" t="s">
        <v>97</v>
      </c>
      <c r="U102" s="5"/>
      <c r="V102" s="5"/>
      <c r="AB102" s="5" t="s">
        <v>99</v>
      </c>
    </row>
    <row r="103" spans="1:29" x14ac:dyDescent="0.3">
      <c r="A103" s="5" t="s">
        <v>89</v>
      </c>
      <c r="B103" s="5"/>
      <c r="C103" s="5"/>
      <c r="D103" s="5"/>
      <c r="E103" s="5"/>
      <c r="F103" s="5" t="s">
        <v>92</v>
      </c>
      <c r="G103" s="5"/>
      <c r="H103" s="5"/>
      <c r="I103" s="5"/>
      <c r="J103" s="5"/>
      <c r="K103" s="5"/>
      <c r="L103" s="5"/>
      <c r="M103" s="5"/>
      <c r="N103" s="5" t="s">
        <v>95</v>
      </c>
      <c r="O103" s="5"/>
      <c r="P103" s="5"/>
      <c r="Q103" s="5"/>
      <c r="R103" s="5"/>
      <c r="S103" s="5"/>
      <c r="T103" s="5" t="s">
        <v>98</v>
      </c>
      <c r="U103" s="5"/>
      <c r="V103" s="5"/>
    </row>
    <row r="111" spans="1:29" x14ac:dyDescent="0.3">
      <c r="B111" s="15" t="s">
        <v>494</v>
      </c>
      <c r="M111" s="6" t="s">
        <v>467</v>
      </c>
      <c r="AB111" s="5" t="s">
        <v>456</v>
      </c>
    </row>
    <row r="112" spans="1:29" x14ac:dyDescent="0.3">
      <c r="B112" s="15" t="s">
        <v>81</v>
      </c>
      <c r="AB112" s="5" t="s">
        <v>100</v>
      </c>
    </row>
    <row r="113" spans="1:29" x14ac:dyDescent="0.3">
      <c r="B113" s="15" t="s">
        <v>459</v>
      </c>
      <c r="AB113" s="5" t="s">
        <v>438</v>
      </c>
    </row>
    <row r="114" spans="1:29" x14ac:dyDescent="0.3">
      <c r="B114" s="15" t="s">
        <v>460</v>
      </c>
      <c r="K114" s="5"/>
      <c r="AB114" s="5" t="s">
        <v>103</v>
      </c>
      <c r="AC114" s="5" t="s">
        <v>439</v>
      </c>
    </row>
    <row r="115" spans="1:29" x14ac:dyDescent="0.3">
      <c r="AB115" s="5" t="s">
        <v>157</v>
      </c>
    </row>
    <row r="116" spans="1:29" x14ac:dyDescent="0.3">
      <c r="C116" s="5" t="s">
        <v>482</v>
      </c>
    </row>
    <row r="117" spans="1:29" x14ac:dyDescent="0.3">
      <c r="A117" s="57" t="s">
        <v>0</v>
      </c>
      <c r="B117" s="66" t="s">
        <v>469</v>
      </c>
      <c r="C117" s="60" t="s">
        <v>458</v>
      </c>
      <c r="D117" s="61"/>
      <c r="E117" s="62"/>
      <c r="F117" s="60" t="s">
        <v>1</v>
      </c>
      <c r="G117" s="61"/>
      <c r="H117" s="62"/>
      <c r="I117" s="60" t="s">
        <v>2</v>
      </c>
      <c r="J117" s="61"/>
      <c r="K117" s="62"/>
      <c r="L117" s="60" t="s">
        <v>8</v>
      </c>
      <c r="M117" s="61"/>
      <c r="N117" s="62"/>
      <c r="O117" s="60" t="s">
        <v>3</v>
      </c>
      <c r="P117" s="61"/>
      <c r="Q117" s="62"/>
      <c r="R117" s="31"/>
      <c r="S117" s="31" t="s">
        <v>4</v>
      </c>
      <c r="T117" s="31"/>
      <c r="U117" s="60" t="s">
        <v>5</v>
      </c>
      <c r="V117" s="61"/>
      <c r="W117" s="62"/>
      <c r="X117" s="57" t="s">
        <v>16</v>
      </c>
      <c r="Y117" s="57" t="s">
        <v>17</v>
      </c>
      <c r="Z117" s="57" t="s">
        <v>18</v>
      </c>
      <c r="AA117" s="57" t="s">
        <v>19</v>
      </c>
      <c r="AB117" s="69" t="s">
        <v>20</v>
      </c>
      <c r="AC117" s="57" t="s">
        <v>21</v>
      </c>
    </row>
    <row r="118" spans="1:29" ht="55.2" x14ac:dyDescent="0.25">
      <c r="A118" s="58"/>
      <c r="B118" s="67"/>
      <c r="C118" s="32" t="s">
        <v>6</v>
      </c>
      <c r="D118" s="32" t="s">
        <v>461</v>
      </c>
      <c r="E118" s="32" t="s">
        <v>7</v>
      </c>
      <c r="F118" s="32" t="s">
        <v>6</v>
      </c>
      <c r="G118" s="32" t="s">
        <v>461</v>
      </c>
      <c r="H118" s="32" t="s">
        <v>7</v>
      </c>
      <c r="I118" s="32" t="s">
        <v>6</v>
      </c>
      <c r="J118" s="32" t="s">
        <v>461</v>
      </c>
      <c r="K118" s="32" t="s">
        <v>7</v>
      </c>
      <c r="L118" s="32" t="s">
        <v>6</v>
      </c>
      <c r="M118" s="32" t="s">
        <v>461</v>
      </c>
      <c r="N118" s="32" t="s">
        <v>7</v>
      </c>
      <c r="O118" s="32" t="s">
        <v>6</v>
      </c>
      <c r="P118" s="32" t="s">
        <v>461</v>
      </c>
      <c r="Q118" s="32" t="s">
        <v>7</v>
      </c>
      <c r="R118" s="32" t="s">
        <v>6</v>
      </c>
      <c r="S118" s="32" t="s">
        <v>461</v>
      </c>
      <c r="T118" s="32" t="s">
        <v>7</v>
      </c>
      <c r="U118" s="32" t="s">
        <v>6</v>
      </c>
      <c r="V118" s="32" t="s">
        <v>461</v>
      </c>
      <c r="W118" s="32" t="s">
        <v>7</v>
      </c>
      <c r="X118" s="58"/>
      <c r="Y118" s="58"/>
      <c r="Z118" s="58"/>
      <c r="AA118" s="58"/>
      <c r="AB118" s="70"/>
      <c r="AC118" s="58"/>
    </row>
    <row r="119" spans="1:29" x14ac:dyDescent="0.3">
      <c r="A119" s="59"/>
      <c r="B119" s="68"/>
      <c r="C119" s="33">
        <v>50</v>
      </c>
      <c r="D119" s="33">
        <v>50</v>
      </c>
      <c r="E119" s="33">
        <v>100</v>
      </c>
      <c r="F119" s="33">
        <v>50</v>
      </c>
      <c r="G119" s="33">
        <v>50</v>
      </c>
      <c r="H119" s="33">
        <v>100</v>
      </c>
      <c r="I119" s="33">
        <v>50</v>
      </c>
      <c r="J119" s="33">
        <v>50</v>
      </c>
      <c r="K119" s="33">
        <v>100</v>
      </c>
      <c r="L119" s="33">
        <v>50</v>
      </c>
      <c r="M119" s="33">
        <v>50</v>
      </c>
      <c r="N119" s="33">
        <v>100</v>
      </c>
      <c r="O119" s="33">
        <v>50</v>
      </c>
      <c r="P119" s="33">
        <v>50</v>
      </c>
      <c r="Q119" s="33">
        <v>100</v>
      </c>
      <c r="R119" s="33">
        <v>50</v>
      </c>
      <c r="S119" s="33">
        <v>50</v>
      </c>
      <c r="T119" s="33">
        <v>100</v>
      </c>
      <c r="U119" s="33">
        <v>50</v>
      </c>
      <c r="V119" s="33">
        <v>50</v>
      </c>
      <c r="W119" s="33">
        <v>100</v>
      </c>
      <c r="X119" s="59"/>
      <c r="Y119" s="59"/>
      <c r="Z119" s="59"/>
      <c r="AA119" s="59"/>
      <c r="AB119" s="71"/>
      <c r="AC119" s="59"/>
    </row>
    <row r="120" spans="1:29" x14ac:dyDescent="0.3">
      <c r="A120" s="26">
        <v>21</v>
      </c>
      <c r="B120" s="27" t="s">
        <v>348</v>
      </c>
      <c r="C120" s="26">
        <v>50</v>
      </c>
      <c r="D120" s="26">
        <v>50</v>
      </c>
      <c r="E120" s="33">
        <f t="shared" ref="E120:E123" si="60">SUM(C120:D120)</f>
        <v>100</v>
      </c>
      <c r="F120" s="26">
        <v>50</v>
      </c>
      <c r="G120" s="26">
        <v>45</v>
      </c>
      <c r="H120" s="33">
        <f t="shared" ref="H120:H123" si="61">SUM(F120:G120)</f>
        <v>95</v>
      </c>
      <c r="I120" s="26">
        <v>50</v>
      </c>
      <c r="J120" s="26">
        <v>50</v>
      </c>
      <c r="K120" s="33">
        <f t="shared" ref="K120:K123" si="62">SUM(I120:J120)</f>
        <v>100</v>
      </c>
      <c r="L120" s="26"/>
      <c r="M120" s="26"/>
      <c r="N120" s="33"/>
      <c r="O120" s="26">
        <v>48</v>
      </c>
      <c r="P120" s="26">
        <v>50</v>
      </c>
      <c r="Q120" s="33">
        <f t="shared" ref="Q120:Q123" si="63">SUM(O120:P120)</f>
        <v>98</v>
      </c>
      <c r="R120" s="26"/>
      <c r="S120" s="26"/>
      <c r="T120" s="33"/>
      <c r="U120" s="26">
        <v>50</v>
      </c>
      <c r="V120" s="26">
        <v>50</v>
      </c>
      <c r="W120" s="37">
        <f t="shared" ref="W120:W123" si="64">SUM(U120:V120)</f>
        <v>100</v>
      </c>
      <c r="X120" s="29"/>
      <c r="Y120" s="29"/>
      <c r="Z120" s="29"/>
      <c r="AA120" s="37">
        <f t="shared" ref="AA120:AA125" si="65">SUM(W120,Q120,K120,H120,E120)</f>
        <v>493</v>
      </c>
      <c r="AB120" s="26" t="s">
        <v>117</v>
      </c>
      <c r="AC120" s="28"/>
    </row>
    <row r="121" spans="1:29" x14ac:dyDescent="0.3">
      <c r="A121" s="26">
        <v>22</v>
      </c>
      <c r="B121" s="27" t="s">
        <v>352</v>
      </c>
      <c r="C121" s="26">
        <v>30</v>
      </c>
      <c r="D121" s="26">
        <v>32</v>
      </c>
      <c r="E121" s="33">
        <f t="shared" ref="E121:E122" si="66">SUM(C121:D121)</f>
        <v>62</v>
      </c>
      <c r="F121" s="26">
        <v>29</v>
      </c>
      <c r="G121" s="26">
        <v>30</v>
      </c>
      <c r="H121" s="33">
        <f t="shared" ref="H121:H122" si="67">SUM(F121:G121)</f>
        <v>59</v>
      </c>
      <c r="I121" s="26">
        <v>31</v>
      </c>
      <c r="J121" s="26">
        <v>38</v>
      </c>
      <c r="K121" s="33">
        <f t="shared" ref="K121:K122" si="68">SUM(I121:J121)</f>
        <v>69</v>
      </c>
      <c r="L121" s="26"/>
      <c r="M121" s="26"/>
      <c r="N121" s="33"/>
      <c r="O121" s="26">
        <v>29</v>
      </c>
      <c r="P121" s="26">
        <v>32</v>
      </c>
      <c r="Q121" s="33">
        <f t="shared" ref="Q121:Q122" si="69">SUM(O121:P121)</f>
        <v>61</v>
      </c>
      <c r="R121" s="26"/>
      <c r="S121" s="26"/>
      <c r="T121" s="33"/>
      <c r="U121" s="26">
        <v>29</v>
      </c>
      <c r="V121" s="26">
        <v>28</v>
      </c>
      <c r="W121" s="37">
        <f t="shared" ref="W121:W122" si="70">SUM(U121:V121)</f>
        <v>57</v>
      </c>
      <c r="X121" s="29"/>
      <c r="Y121" s="29"/>
      <c r="Z121" s="29"/>
      <c r="AA121" s="37">
        <f t="shared" ref="AA121:AA122" si="71">SUM(W121,Q121,K121,H121,E121)</f>
        <v>308</v>
      </c>
      <c r="AB121" s="26" t="s">
        <v>117</v>
      </c>
      <c r="AC121" s="28"/>
    </row>
    <row r="122" spans="1:29" x14ac:dyDescent="0.3">
      <c r="A122" s="26">
        <v>23</v>
      </c>
      <c r="B122" s="27" t="s">
        <v>361</v>
      </c>
      <c r="C122" s="26">
        <v>31</v>
      </c>
      <c r="D122" s="26">
        <v>29</v>
      </c>
      <c r="E122" s="33">
        <f t="shared" si="66"/>
        <v>60</v>
      </c>
      <c r="F122" s="26">
        <v>32</v>
      </c>
      <c r="G122" s="26">
        <v>25</v>
      </c>
      <c r="H122" s="33">
        <f t="shared" si="67"/>
        <v>57</v>
      </c>
      <c r="I122" s="26">
        <v>29</v>
      </c>
      <c r="J122" s="26">
        <v>29</v>
      </c>
      <c r="K122" s="33">
        <f t="shared" si="68"/>
        <v>58</v>
      </c>
      <c r="L122" s="26"/>
      <c r="M122" s="26"/>
      <c r="N122" s="33"/>
      <c r="O122" s="26">
        <v>29</v>
      </c>
      <c r="P122" s="26">
        <v>29</v>
      </c>
      <c r="Q122" s="33">
        <f t="shared" si="69"/>
        <v>58</v>
      </c>
      <c r="R122" s="26"/>
      <c r="S122" s="26"/>
      <c r="T122" s="33"/>
      <c r="U122" s="26">
        <v>29</v>
      </c>
      <c r="V122" s="26">
        <v>32</v>
      </c>
      <c r="W122" s="37">
        <f t="shared" si="70"/>
        <v>61</v>
      </c>
      <c r="X122" s="29"/>
      <c r="Y122" s="29"/>
      <c r="Z122" s="29"/>
      <c r="AA122" s="37">
        <f t="shared" si="71"/>
        <v>294</v>
      </c>
      <c r="AB122" s="26" t="s">
        <v>117</v>
      </c>
      <c r="AC122" s="28"/>
    </row>
    <row r="123" spans="1:29" x14ac:dyDescent="0.3">
      <c r="A123" s="26">
        <v>24</v>
      </c>
      <c r="B123" s="27" t="s">
        <v>364</v>
      </c>
      <c r="C123" s="26">
        <v>50</v>
      </c>
      <c r="D123" s="26">
        <v>44</v>
      </c>
      <c r="E123" s="33">
        <f t="shared" si="60"/>
        <v>94</v>
      </c>
      <c r="F123" s="26">
        <v>50</v>
      </c>
      <c r="G123" s="26">
        <v>49</v>
      </c>
      <c r="H123" s="33">
        <f t="shared" si="61"/>
        <v>99</v>
      </c>
      <c r="I123" s="26">
        <v>50</v>
      </c>
      <c r="J123" s="26">
        <v>50</v>
      </c>
      <c r="K123" s="33">
        <f t="shared" si="62"/>
        <v>100</v>
      </c>
      <c r="L123" s="26"/>
      <c r="M123" s="26"/>
      <c r="N123" s="33"/>
      <c r="O123" s="26">
        <v>48</v>
      </c>
      <c r="P123" s="26">
        <v>50</v>
      </c>
      <c r="Q123" s="33">
        <f t="shared" si="63"/>
        <v>98</v>
      </c>
      <c r="R123" s="26"/>
      <c r="S123" s="26"/>
      <c r="T123" s="33"/>
      <c r="U123" s="26">
        <v>50</v>
      </c>
      <c r="V123" s="26">
        <v>39</v>
      </c>
      <c r="W123" s="37">
        <f t="shared" si="64"/>
        <v>89</v>
      </c>
      <c r="X123" s="29"/>
      <c r="Y123" s="29"/>
      <c r="Z123" s="29"/>
      <c r="AA123" s="37">
        <f t="shared" si="65"/>
        <v>480</v>
      </c>
      <c r="AB123" s="26" t="s">
        <v>117</v>
      </c>
      <c r="AC123" s="28"/>
    </row>
    <row r="124" spans="1:29" x14ac:dyDescent="0.3">
      <c r="A124" s="26">
        <v>25</v>
      </c>
      <c r="B124" s="27" t="s">
        <v>362</v>
      </c>
      <c r="C124" s="26">
        <v>39</v>
      </c>
      <c r="D124" s="26">
        <v>29</v>
      </c>
      <c r="E124" s="33">
        <f t="shared" ref="E124:E126" si="72">SUM(C124:D124)</f>
        <v>68</v>
      </c>
      <c r="F124" s="26">
        <v>39</v>
      </c>
      <c r="G124" s="26">
        <v>32</v>
      </c>
      <c r="H124" s="33">
        <f t="shared" ref="H124:H126" si="73">SUM(F124:G124)</f>
        <v>71</v>
      </c>
      <c r="I124" s="26">
        <v>36</v>
      </c>
      <c r="J124" s="26">
        <v>43</v>
      </c>
      <c r="K124" s="33">
        <f t="shared" ref="K124:K126" si="74">SUM(I124:J124)</f>
        <v>79</v>
      </c>
      <c r="L124" s="26"/>
      <c r="M124" s="26"/>
      <c r="N124" s="33"/>
      <c r="O124" s="26">
        <v>36</v>
      </c>
      <c r="P124" s="26">
        <v>41</v>
      </c>
      <c r="Q124" s="33">
        <f t="shared" ref="Q124:Q126" si="75">SUM(O124:P124)</f>
        <v>77</v>
      </c>
      <c r="R124" s="26"/>
      <c r="S124" s="26"/>
      <c r="T124" s="33"/>
      <c r="U124" s="26">
        <v>41</v>
      </c>
      <c r="V124" s="26">
        <v>35</v>
      </c>
      <c r="W124" s="37">
        <f t="shared" ref="W124:W126" si="76">SUM(U124:V124)</f>
        <v>76</v>
      </c>
      <c r="X124" s="29"/>
      <c r="Y124" s="29"/>
      <c r="Z124" s="29"/>
      <c r="AA124" s="37">
        <f t="shared" si="65"/>
        <v>371</v>
      </c>
      <c r="AB124" s="26" t="s">
        <v>117</v>
      </c>
      <c r="AC124" s="28"/>
    </row>
    <row r="125" spans="1:29" x14ac:dyDescent="0.3">
      <c r="A125" s="26">
        <v>26</v>
      </c>
      <c r="B125" s="27" t="s">
        <v>437</v>
      </c>
      <c r="C125" s="26">
        <v>45</v>
      </c>
      <c r="D125" s="26">
        <v>45</v>
      </c>
      <c r="E125" s="33">
        <f t="shared" si="72"/>
        <v>90</v>
      </c>
      <c r="F125" s="26">
        <v>45</v>
      </c>
      <c r="G125" s="26">
        <v>46</v>
      </c>
      <c r="H125" s="33">
        <f t="shared" si="73"/>
        <v>91</v>
      </c>
      <c r="I125" s="26">
        <v>46</v>
      </c>
      <c r="J125" s="26">
        <v>49</v>
      </c>
      <c r="K125" s="33">
        <f t="shared" si="74"/>
        <v>95</v>
      </c>
      <c r="L125" s="26"/>
      <c r="M125" s="26"/>
      <c r="N125" s="33"/>
      <c r="O125" s="26">
        <v>44</v>
      </c>
      <c r="P125" s="26">
        <v>49</v>
      </c>
      <c r="Q125" s="33">
        <f t="shared" si="75"/>
        <v>93</v>
      </c>
      <c r="R125" s="26"/>
      <c r="S125" s="26"/>
      <c r="T125" s="33"/>
      <c r="U125" s="26">
        <v>47</v>
      </c>
      <c r="V125" s="26">
        <v>45</v>
      </c>
      <c r="W125" s="37">
        <f t="shared" si="76"/>
        <v>92</v>
      </c>
      <c r="X125" s="29"/>
      <c r="Y125" s="29"/>
      <c r="Z125" s="29"/>
      <c r="AA125" s="37">
        <f t="shared" si="65"/>
        <v>461</v>
      </c>
      <c r="AB125" s="26" t="s">
        <v>117</v>
      </c>
      <c r="AC125" s="28"/>
    </row>
    <row r="126" spans="1:29" x14ac:dyDescent="0.3">
      <c r="A126" s="26">
        <v>27</v>
      </c>
      <c r="B126" s="27" t="s">
        <v>492</v>
      </c>
      <c r="C126" s="26">
        <v>35</v>
      </c>
      <c r="D126" s="26">
        <v>29</v>
      </c>
      <c r="E126" s="33">
        <f t="shared" si="72"/>
        <v>64</v>
      </c>
      <c r="F126" s="26">
        <v>37</v>
      </c>
      <c r="G126" s="26">
        <v>32</v>
      </c>
      <c r="H126" s="33">
        <f t="shared" si="73"/>
        <v>69</v>
      </c>
      <c r="I126" s="26">
        <v>36</v>
      </c>
      <c r="J126" s="26">
        <v>39</v>
      </c>
      <c r="K126" s="33">
        <f t="shared" si="74"/>
        <v>75</v>
      </c>
      <c r="L126" s="26"/>
      <c r="M126" s="26"/>
      <c r="N126" s="33"/>
      <c r="O126" s="26">
        <v>31</v>
      </c>
      <c r="P126" s="26">
        <v>46</v>
      </c>
      <c r="Q126" s="33">
        <f t="shared" si="75"/>
        <v>77</v>
      </c>
      <c r="R126" s="26"/>
      <c r="S126" s="26"/>
      <c r="T126" s="33"/>
      <c r="U126" s="26">
        <v>38</v>
      </c>
      <c r="V126" s="26">
        <v>42</v>
      </c>
      <c r="W126" s="37">
        <f t="shared" si="76"/>
        <v>80</v>
      </c>
      <c r="X126" s="29"/>
      <c r="Y126" s="29"/>
      <c r="Z126" s="29"/>
      <c r="AA126" s="37">
        <f>SUM(W126,Q126,K126,H126,E126)</f>
        <v>365</v>
      </c>
      <c r="AB126" s="26" t="s">
        <v>117</v>
      </c>
      <c r="AC126" s="28"/>
    </row>
    <row r="127" spans="1:29" x14ac:dyDescent="0.3">
      <c r="A127" s="26">
        <v>28</v>
      </c>
      <c r="B127" s="27" t="s">
        <v>578</v>
      </c>
      <c r="C127" s="26">
        <v>45</v>
      </c>
      <c r="D127" s="26">
        <v>49</v>
      </c>
      <c r="E127" s="33">
        <f t="shared" ref="E127:E129" si="77">SUM(C127:D127)</f>
        <v>94</v>
      </c>
      <c r="F127" s="26">
        <v>45</v>
      </c>
      <c r="G127" s="26">
        <v>50</v>
      </c>
      <c r="H127" s="33">
        <f t="shared" ref="H127:H129" si="78">SUM(F127:G127)</f>
        <v>95</v>
      </c>
      <c r="I127" s="26">
        <v>46</v>
      </c>
      <c r="J127" s="26">
        <v>50</v>
      </c>
      <c r="K127" s="33">
        <f t="shared" ref="K127:K129" si="79">SUM(I127:J127)</f>
        <v>96</v>
      </c>
      <c r="L127" s="26"/>
      <c r="M127" s="26"/>
      <c r="N127" s="33"/>
      <c r="O127" s="26">
        <v>46</v>
      </c>
      <c r="P127" s="26">
        <v>49</v>
      </c>
      <c r="Q127" s="33">
        <f t="shared" ref="Q127:Q129" si="80">SUM(O127:P127)</f>
        <v>95</v>
      </c>
      <c r="R127" s="26"/>
      <c r="S127" s="26"/>
      <c r="T127" s="33"/>
      <c r="U127" s="26">
        <v>40</v>
      </c>
      <c r="V127" s="26">
        <v>49</v>
      </c>
      <c r="W127" s="37">
        <f t="shared" ref="W127:W129" si="81">SUM(U127:V127)</f>
        <v>89</v>
      </c>
      <c r="X127" s="29"/>
      <c r="Y127" s="29"/>
      <c r="Z127" s="29"/>
      <c r="AA127" s="37">
        <f>SUM(W127,Q127,K127,H127,E127)</f>
        <v>469</v>
      </c>
      <c r="AB127" s="26" t="s">
        <v>117</v>
      </c>
      <c r="AC127" s="28"/>
    </row>
    <row r="128" spans="1:29" x14ac:dyDescent="0.3">
      <c r="A128" s="26">
        <v>29</v>
      </c>
      <c r="B128" s="27" t="s">
        <v>356</v>
      </c>
      <c r="C128" s="26">
        <v>43</v>
      </c>
      <c r="D128" s="26">
        <v>50</v>
      </c>
      <c r="E128" s="33">
        <f t="shared" si="77"/>
        <v>93</v>
      </c>
      <c r="F128" s="26">
        <v>43</v>
      </c>
      <c r="G128" s="26">
        <v>49</v>
      </c>
      <c r="H128" s="33">
        <f t="shared" si="78"/>
        <v>92</v>
      </c>
      <c r="I128" s="26">
        <v>37</v>
      </c>
      <c r="J128" s="26">
        <v>47</v>
      </c>
      <c r="K128" s="33">
        <f t="shared" si="79"/>
        <v>84</v>
      </c>
      <c r="L128" s="26"/>
      <c r="M128" s="26"/>
      <c r="N128" s="33"/>
      <c r="O128" s="26">
        <v>45</v>
      </c>
      <c r="P128" s="26">
        <v>45</v>
      </c>
      <c r="Q128" s="33">
        <f t="shared" si="80"/>
        <v>90</v>
      </c>
      <c r="R128" s="26"/>
      <c r="S128" s="26"/>
      <c r="T128" s="33"/>
      <c r="U128" s="26">
        <v>45</v>
      </c>
      <c r="V128" s="26">
        <v>50</v>
      </c>
      <c r="W128" s="37">
        <f t="shared" si="81"/>
        <v>95</v>
      </c>
      <c r="X128" s="29"/>
      <c r="Y128" s="29"/>
      <c r="Z128" s="29"/>
      <c r="AA128" s="37">
        <f t="shared" ref="AA128:AA130" si="82">SUM(W128,Q128,K128,H128,E128)</f>
        <v>454</v>
      </c>
      <c r="AB128" s="26" t="s">
        <v>117</v>
      </c>
      <c r="AC128" s="28"/>
    </row>
    <row r="129" spans="1:29" x14ac:dyDescent="0.3">
      <c r="A129" s="26">
        <v>30</v>
      </c>
      <c r="B129" s="27" t="s">
        <v>357</v>
      </c>
      <c r="C129" s="26">
        <v>29</v>
      </c>
      <c r="D129" s="26">
        <v>29</v>
      </c>
      <c r="E129" s="33">
        <f t="shared" si="77"/>
        <v>58</v>
      </c>
      <c r="F129" s="26">
        <v>29</v>
      </c>
      <c r="G129" s="26">
        <v>34</v>
      </c>
      <c r="H129" s="33">
        <f t="shared" si="78"/>
        <v>63</v>
      </c>
      <c r="I129" s="26">
        <v>29</v>
      </c>
      <c r="J129" s="26">
        <v>42</v>
      </c>
      <c r="K129" s="33">
        <f t="shared" si="79"/>
        <v>71</v>
      </c>
      <c r="L129" s="26"/>
      <c r="M129" s="26"/>
      <c r="N129" s="33"/>
      <c r="O129" s="26">
        <v>29</v>
      </c>
      <c r="P129" s="26">
        <v>37</v>
      </c>
      <c r="Q129" s="33">
        <f t="shared" si="80"/>
        <v>66</v>
      </c>
      <c r="R129" s="26"/>
      <c r="S129" s="26"/>
      <c r="T129" s="33"/>
      <c r="U129" s="26">
        <v>30</v>
      </c>
      <c r="V129" s="26">
        <v>34</v>
      </c>
      <c r="W129" s="37">
        <f t="shared" si="81"/>
        <v>64</v>
      </c>
      <c r="X129" s="29"/>
      <c r="Y129" s="29"/>
      <c r="Z129" s="29"/>
      <c r="AA129" s="37">
        <f t="shared" si="82"/>
        <v>322</v>
      </c>
      <c r="AB129" s="26" t="s">
        <v>117</v>
      </c>
      <c r="AC129" s="28"/>
    </row>
    <row r="130" spans="1:29" x14ac:dyDescent="0.3">
      <c r="A130" s="26">
        <v>31</v>
      </c>
      <c r="B130" s="27" t="s">
        <v>493</v>
      </c>
      <c r="C130" s="26">
        <v>29</v>
      </c>
      <c r="D130" s="26">
        <v>29</v>
      </c>
      <c r="E130" s="33">
        <f t="shared" ref="E130" si="83">SUM(C130:D130)</f>
        <v>58</v>
      </c>
      <c r="F130" s="26">
        <v>29</v>
      </c>
      <c r="G130" s="26">
        <v>29</v>
      </c>
      <c r="H130" s="33">
        <f t="shared" ref="H130" si="84">SUM(F130:G130)</f>
        <v>58</v>
      </c>
      <c r="I130" s="26">
        <v>31</v>
      </c>
      <c r="J130" s="26">
        <v>29</v>
      </c>
      <c r="K130" s="33">
        <f t="shared" ref="K130" si="85">SUM(I130:J130)</f>
        <v>60</v>
      </c>
      <c r="L130" s="26"/>
      <c r="M130" s="26"/>
      <c r="N130" s="33"/>
      <c r="O130" s="26">
        <v>31</v>
      </c>
      <c r="P130" s="26">
        <v>29</v>
      </c>
      <c r="Q130" s="33">
        <f t="shared" ref="Q130" si="86">SUM(O130:P130)</f>
        <v>60</v>
      </c>
      <c r="R130" s="26"/>
      <c r="S130" s="26"/>
      <c r="T130" s="33"/>
      <c r="U130" s="26">
        <v>31</v>
      </c>
      <c r="V130" s="26">
        <v>30</v>
      </c>
      <c r="W130" s="37">
        <f t="shared" ref="W130" si="87">SUM(U130:V130)</f>
        <v>61</v>
      </c>
      <c r="X130" s="29"/>
      <c r="Y130" s="29"/>
      <c r="Z130" s="29"/>
      <c r="AA130" s="37">
        <f t="shared" si="82"/>
        <v>297</v>
      </c>
      <c r="AB130" s="26" t="s">
        <v>117</v>
      </c>
      <c r="AC130" s="28"/>
    </row>
    <row r="131" spans="1:29" x14ac:dyDescent="0.3">
      <c r="A131" s="26"/>
      <c r="B131" s="26"/>
      <c r="C131" s="26"/>
      <c r="D131" s="26"/>
      <c r="E131" s="33"/>
      <c r="F131" s="26"/>
      <c r="G131" s="26"/>
      <c r="H131" s="33"/>
      <c r="I131" s="26"/>
      <c r="J131" s="26"/>
      <c r="K131" s="33"/>
      <c r="L131" s="26"/>
      <c r="M131" s="26"/>
      <c r="N131" s="33"/>
      <c r="O131" s="26"/>
      <c r="P131" s="26"/>
      <c r="Q131" s="33"/>
      <c r="R131" s="26"/>
      <c r="S131" s="26"/>
      <c r="T131" s="33"/>
      <c r="U131" s="26"/>
      <c r="V131" s="26"/>
      <c r="W131" s="37"/>
      <c r="X131" s="29"/>
      <c r="Y131" s="29"/>
      <c r="Z131" s="29"/>
      <c r="AA131" s="37"/>
      <c r="AB131" s="26"/>
      <c r="AC131" s="28"/>
    </row>
    <row r="132" spans="1:29" x14ac:dyDescent="0.3">
      <c r="A132" s="26"/>
      <c r="B132" s="26"/>
      <c r="C132" s="26"/>
      <c r="D132" s="26"/>
      <c r="E132" s="33"/>
      <c r="F132" s="26"/>
      <c r="G132" s="26"/>
      <c r="H132" s="33"/>
      <c r="I132" s="26"/>
      <c r="J132" s="26"/>
      <c r="K132" s="33"/>
      <c r="L132" s="26"/>
      <c r="M132" s="26"/>
      <c r="N132" s="33"/>
      <c r="O132" s="26"/>
      <c r="P132" s="26"/>
      <c r="Q132" s="33"/>
      <c r="R132" s="26"/>
      <c r="S132" s="26"/>
      <c r="T132" s="33"/>
      <c r="U132" s="26"/>
      <c r="V132" s="26"/>
      <c r="W132" s="37"/>
      <c r="X132" s="29"/>
      <c r="Y132" s="29"/>
      <c r="Z132" s="29"/>
      <c r="AA132" s="37"/>
      <c r="AB132" s="26"/>
      <c r="AC132" s="28"/>
    </row>
    <row r="133" spans="1:29" x14ac:dyDescent="0.3">
      <c r="A133" s="26"/>
      <c r="B133" s="26"/>
      <c r="C133" s="26"/>
      <c r="D133" s="26"/>
      <c r="E133" s="33"/>
      <c r="F133" s="26"/>
      <c r="G133" s="26"/>
      <c r="H133" s="33"/>
      <c r="I133" s="26"/>
      <c r="J133" s="26"/>
      <c r="K133" s="33"/>
      <c r="L133" s="26"/>
      <c r="M133" s="26"/>
      <c r="N133" s="33"/>
      <c r="O133" s="26"/>
      <c r="P133" s="26"/>
      <c r="Q133" s="33"/>
      <c r="R133" s="26"/>
      <c r="S133" s="26"/>
      <c r="T133" s="33"/>
      <c r="U133" s="26"/>
      <c r="V133" s="26"/>
      <c r="W133" s="37"/>
      <c r="X133" s="29"/>
      <c r="Y133" s="29"/>
      <c r="Z133" s="29"/>
      <c r="AA133" s="37"/>
      <c r="AB133" s="26"/>
      <c r="AC133" s="28"/>
    </row>
    <row r="134" spans="1:29" x14ac:dyDescent="0.3">
      <c r="A134" s="26"/>
      <c r="B134" s="26"/>
      <c r="C134" s="26"/>
      <c r="D134" s="26"/>
      <c r="E134" s="33"/>
      <c r="F134" s="26"/>
      <c r="G134" s="26"/>
      <c r="H134" s="33"/>
      <c r="I134" s="26"/>
      <c r="J134" s="26"/>
      <c r="K134" s="33"/>
      <c r="L134" s="26"/>
      <c r="M134" s="26"/>
      <c r="N134" s="33"/>
      <c r="O134" s="26"/>
      <c r="P134" s="26"/>
      <c r="Q134" s="33"/>
      <c r="R134" s="26"/>
      <c r="S134" s="26"/>
      <c r="T134" s="33"/>
      <c r="U134" s="26"/>
      <c r="V134" s="26"/>
      <c r="W134" s="37"/>
      <c r="X134" s="29"/>
      <c r="Y134" s="29"/>
      <c r="Z134" s="29"/>
      <c r="AA134" s="37"/>
      <c r="AB134" s="26"/>
      <c r="AC134" s="28"/>
    </row>
    <row r="135" spans="1:29" x14ac:dyDescent="0.3">
      <c r="A135" s="26"/>
      <c r="B135" s="26"/>
      <c r="C135" s="26"/>
      <c r="D135" s="26"/>
      <c r="E135" s="33"/>
      <c r="F135" s="26"/>
      <c r="G135" s="26"/>
      <c r="H135" s="33"/>
      <c r="I135" s="26"/>
      <c r="J135" s="26"/>
      <c r="K135" s="33"/>
      <c r="L135" s="26"/>
      <c r="M135" s="26"/>
      <c r="N135" s="33"/>
      <c r="O135" s="26"/>
      <c r="P135" s="26"/>
      <c r="Q135" s="33"/>
      <c r="R135" s="26"/>
      <c r="S135" s="26"/>
      <c r="T135" s="33"/>
      <c r="U135" s="26"/>
      <c r="V135" s="26"/>
      <c r="W135" s="37"/>
      <c r="X135" s="29"/>
      <c r="Y135" s="29"/>
      <c r="Z135" s="29"/>
      <c r="AA135" s="37"/>
      <c r="AB135" s="26"/>
      <c r="AC135" s="28"/>
    </row>
    <row r="136" spans="1:29" x14ac:dyDescent="0.3">
      <c r="A136" s="26"/>
      <c r="B136" s="26"/>
      <c r="C136" s="26"/>
      <c r="D136" s="26"/>
      <c r="E136" s="33"/>
      <c r="F136" s="26"/>
      <c r="G136" s="26"/>
      <c r="H136" s="33"/>
      <c r="I136" s="26"/>
      <c r="J136" s="26"/>
      <c r="K136" s="33"/>
      <c r="L136" s="26"/>
      <c r="M136" s="26"/>
      <c r="N136" s="33"/>
      <c r="O136" s="26"/>
      <c r="P136" s="26"/>
      <c r="Q136" s="33"/>
      <c r="R136" s="26"/>
      <c r="S136" s="26"/>
      <c r="T136" s="33"/>
      <c r="U136" s="26"/>
      <c r="V136" s="26"/>
      <c r="W136" s="37"/>
      <c r="X136" s="29"/>
      <c r="Y136" s="29"/>
      <c r="Z136" s="29"/>
      <c r="AA136" s="37"/>
      <c r="AB136" s="26"/>
      <c r="AC136" s="28"/>
    </row>
    <row r="137" spans="1:29" x14ac:dyDescent="0.3">
      <c r="A137" s="26"/>
      <c r="B137" s="26"/>
      <c r="C137" s="26"/>
      <c r="D137" s="26"/>
      <c r="E137" s="33"/>
      <c r="F137" s="26"/>
      <c r="G137" s="26"/>
      <c r="H137" s="33"/>
      <c r="I137" s="26"/>
      <c r="J137" s="26"/>
      <c r="K137" s="33"/>
      <c r="L137" s="26"/>
      <c r="M137" s="26"/>
      <c r="N137" s="33"/>
      <c r="O137" s="26"/>
      <c r="P137" s="26"/>
      <c r="Q137" s="33"/>
      <c r="R137" s="26"/>
      <c r="S137" s="26"/>
      <c r="T137" s="33"/>
      <c r="U137" s="26"/>
      <c r="V137" s="26"/>
      <c r="W137" s="37"/>
      <c r="X137" s="29"/>
      <c r="Y137" s="29"/>
      <c r="Z137" s="29"/>
      <c r="AA137" s="37"/>
      <c r="AB137" s="26"/>
      <c r="AC137" s="28"/>
    </row>
    <row r="138" spans="1:29" x14ac:dyDescent="0.3">
      <c r="A138" s="26"/>
      <c r="B138" s="26"/>
      <c r="C138" s="26"/>
      <c r="D138" s="26"/>
      <c r="E138" s="33"/>
      <c r="F138" s="26"/>
      <c r="G138" s="26"/>
      <c r="H138" s="33"/>
      <c r="I138" s="26"/>
      <c r="J138" s="26"/>
      <c r="K138" s="33"/>
      <c r="L138" s="26"/>
      <c r="M138" s="26"/>
      <c r="N138" s="33"/>
      <c r="O138" s="26"/>
      <c r="P138" s="26"/>
      <c r="Q138" s="33"/>
      <c r="R138" s="26"/>
      <c r="S138" s="26"/>
      <c r="T138" s="33"/>
      <c r="U138" s="26"/>
      <c r="V138" s="26"/>
      <c r="W138" s="37"/>
      <c r="X138" s="29"/>
      <c r="Y138" s="29"/>
      <c r="Z138" s="29"/>
      <c r="AA138" s="37"/>
      <c r="AB138" s="26"/>
      <c r="AC138" s="28"/>
    </row>
    <row r="139" spans="1:29" x14ac:dyDescent="0.3">
      <c r="A139" s="26"/>
      <c r="B139" s="26"/>
      <c r="C139" s="26"/>
      <c r="D139" s="26"/>
      <c r="E139" s="33"/>
      <c r="F139" s="26"/>
      <c r="G139" s="26"/>
      <c r="H139" s="33"/>
      <c r="I139" s="26"/>
      <c r="J139" s="26"/>
      <c r="K139" s="33"/>
      <c r="L139" s="26"/>
      <c r="M139" s="26"/>
      <c r="N139" s="33"/>
      <c r="O139" s="26"/>
      <c r="P139" s="26"/>
      <c r="Q139" s="33"/>
      <c r="R139" s="26"/>
      <c r="S139" s="26"/>
      <c r="T139" s="33"/>
      <c r="U139" s="26"/>
      <c r="V139" s="26"/>
      <c r="W139" s="37"/>
      <c r="X139" s="29"/>
      <c r="Y139" s="29"/>
      <c r="Z139" s="29"/>
      <c r="AA139" s="37"/>
      <c r="AB139" s="26"/>
      <c r="AC139" s="28"/>
    </row>
    <row r="140" spans="1:29" x14ac:dyDescent="0.3">
      <c r="A140" s="5" t="s">
        <v>382</v>
      </c>
      <c r="B140" s="5"/>
      <c r="C140" s="5"/>
      <c r="D140" s="5"/>
      <c r="E140" s="5"/>
      <c r="F140" s="5"/>
      <c r="G140" s="5" t="s">
        <v>468</v>
      </c>
      <c r="H140" s="5"/>
      <c r="I140" s="5"/>
      <c r="J140" s="5"/>
      <c r="K140" s="5"/>
      <c r="L140" s="5"/>
      <c r="M140" s="5"/>
      <c r="N140" s="5"/>
      <c r="O140" s="5" t="s">
        <v>82</v>
      </c>
      <c r="P140" s="5"/>
      <c r="Q140" s="5"/>
      <c r="R140" s="5"/>
      <c r="S140" s="5"/>
      <c r="T140" s="5"/>
      <c r="U140" s="5" t="s">
        <v>83</v>
      </c>
      <c r="V140" s="5"/>
      <c r="AB140" s="5" t="s">
        <v>84</v>
      </c>
    </row>
    <row r="141" spans="1:29" x14ac:dyDescent="0.3">
      <c r="A141" s="5" t="s">
        <v>89</v>
      </c>
      <c r="B141" s="5"/>
      <c r="C141" s="5"/>
      <c r="D141" s="5"/>
      <c r="E141" s="5"/>
      <c r="F141" s="5" t="s">
        <v>90</v>
      </c>
      <c r="G141" s="5"/>
      <c r="H141" s="5"/>
      <c r="I141" s="5"/>
      <c r="J141" s="5"/>
      <c r="K141" s="5"/>
      <c r="L141" s="5"/>
      <c r="M141" s="5"/>
      <c r="N141" s="5" t="s">
        <v>462</v>
      </c>
      <c r="O141" s="5"/>
      <c r="P141" s="5"/>
      <c r="Q141" s="5"/>
      <c r="R141" s="5"/>
      <c r="S141" s="5"/>
      <c r="T141" s="5" t="s">
        <v>465</v>
      </c>
      <c r="U141" s="5"/>
      <c r="V141" s="5"/>
      <c r="AB141" s="5" t="s">
        <v>85</v>
      </c>
    </row>
    <row r="142" spans="1:29" x14ac:dyDescent="0.3">
      <c r="A142" s="5" t="s">
        <v>466</v>
      </c>
      <c r="B142" s="5"/>
      <c r="C142" s="5"/>
      <c r="D142" s="5"/>
      <c r="E142" s="5"/>
      <c r="F142" s="5" t="s">
        <v>91</v>
      </c>
      <c r="G142" s="5"/>
      <c r="H142" s="5"/>
      <c r="I142" s="5"/>
      <c r="J142" s="5"/>
      <c r="K142" s="5"/>
      <c r="L142" s="5"/>
      <c r="M142" s="5"/>
      <c r="N142" s="5" t="s">
        <v>94</v>
      </c>
      <c r="O142" s="5"/>
      <c r="P142" s="5"/>
      <c r="Q142" s="5"/>
      <c r="R142" s="5"/>
      <c r="S142" s="5"/>
      <c r="T142" s="5" t="s">
        <v>97</v>
      </c>
      <c r="U142" s="5"/>
      <c r="V142" s="5"/>
      <c r="AB142" s="5" t="s">
        <v>99</v>
      </c>
    </row>
    <row r="143" spans="1:29" x14ac:dyDescent="0.3">
      <c r="A143" s="5" t="s">
        <v>89</v>
      </c>
      <c r="B143" s="5"/>
      <c r="C143" s="5"/>
      <c r="D143" s="5"/>
      <c r="E143" s="5"/>
      <c r="F143" s="5" t="s">
        <v>92</v>
      </c>
      <c r="G143" s="5"/>
      <c r="H143" s="5"/>
      <c r="I143" s="5"/>
      <c r="J143" s="5"/>
      <c r="K143" s="5"/>
      <c r="L143" s="5"/>
      <c r="M143" s="5"/>
      <c r="N143" s="5" t="s">
        <v>95</v>
      </c>
      <c r="O143" s="5"/>
      <c r="P143" s="5"/>
      <c r="Q143" s="5"/>
      <c r="R143" s="5"/>
      <c r="S143" s="5"/>
      <c r="T143" s="5" t="s">
        <v>98</v>
      </c>
      <c r="U143" s="5"/>
      <c r="V143" s="5"/>
    </row>
  </sheetData>
  <mergeCells count="56">
    <mergeCell ref="A42:A44"/>
    <mergeCell ref="B42:B44"/>
    <mergeCell ref="C42:E42"/>
    <mergeCell ref="F42:H42"/>
    <mergeCell ref="I42:K42"/>
    <mergeCell ref="A7:A9"/>
    <mergeCell ref="B7:B9"/>
    <mergeCell ref="C7:E7"/>
    <mergeCell ref="F7:H7"/>
    <mergeCell ref="I7:K7"/>
    <mergeCell ref="AB42:AB44"/>
    <mergeCell ref="O42:Q42"/>
    <mergeCell ref="U42:W42"/>
    <mergeCell ref="L42:N42"/>
    <mergeCell ref="L7:N7"/>
    <mergeCell ref="AA42:AA44"/>
    <mergeCell ref="X42:X44"/>
    <mergeCell ref="Y42:Y44"/>
    <mergeCell ref="Z42:Z44"/>
    <mergeCell ref="AB7:AB9"/>
    <mergeCell ref="AC7:AC9"/>
    <mergeCell ref="O7:Q7"/>
    <mergeCell ref="U7:W7"/>
    <mergeCell ref="X7:X9"/>
    <mergeCell ref="Y7:Y9"/>
    <mergeCell ref="Z7:Z9"/>
    <mergeCell ref="AA7:AA9"/>
    <mergeCell ref="AB117:AB119"/>
    <mergeCell ref="A77:A79"/>
    <mergeCell ref="B77:B79"/>
    <mergeCell ref="C77:E77"/>
    <mergeCell ref="F77:H77"/>
    <mergeCell ref="I77:K77"/>
    <mergeCell ref="L77:N77"/>
    <mergeCell ref="O77:Q77"/>
    <mergeCell ref="U77:W77"/>
    <mergeCell ref="X77:X79"/>
    <mergeCell ref="Y77:Y79"/>
    <mergeCell ref="Z77:Z79"/>
    <mergeCell ref="AA77:AA79"/>
    <mergeCell ref="AC42:AC44"/>
    <mergeCell ref="AC77:AC79"/>
    <mergeCell ref="AC117:AC119"/>
    <mergeCell ref="AB77:AB79"/>
    <mergeCell ref="A117:A119"/>
    <mergeCell ref="B117:B119"/>
    <mergeCell ref="C117:E117"/>
    <mergeCell ref="F117:H117"/>
    <mergeCell ref="I117:K117"/>
    <mergeCell ref="L117:N117"/>
    <mergeCell ref="O117:Q117"/>
    <mergeCell ref="U117:W117"/>
    <mergeCell ref="X117:X119"/>
    <mergeCell ref="Y117:Y119"/>
    <mergeCell ref="Z117:Z119"/>
    <mergeCell ref="AA117:AA119"/>
  </mergeCells>
  <pageMargins left="0" right="0.70866141732283472" top="0.39370078740157483" bottom="0.39370078740157483" header="0.31496062992125984" footer="0.31496062992125984"/>
  <pageSetup paperSize="9" scale="83" fitToHeight="0" orientation="landscape" r:id="rId1"/>
  <rowBreaks count="4" manualBreakCount="4">
    <brk id="32" max="29" man="1"/>
    <brk id="70" max="29" man="1"/>
    <brk id="106" max="29" man="1"/>
    <brk id="143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317"/>
  <sheetViews>
    <sheetView rightToLeft="1" topLeftCell="A199" zoomScaleNormal="100" workbookViewId="0">
      <selection activeCell="A180" sqref="A180:AD212"/>
    </sheetView>
  </sheetViews>
  <sheetFormatPr defaultRowHeight="13.8" x14ac:dyDescent="0.25"/>
  <cols>
    <col min="1" max="1" width="3.8984375" customWidth="1"/>
    <col min="2" max="2" width="22.8984375" bestFit="1" customWidth="1"/>
    <col min="3" max="3" width="3.09765625" customWidth="1"/>
    <col min="4" max="4" width="3.5" customWidth="1"/>
    <col min="5" max="5" width="4.19921875" customWidth="1"/>
    <col min="6" max="6" width="3.3984375" customWidth="1"/>
    <col min="7" max="7" width="3" customWidth="1"/>
    <col min="8" max="8" width="4.09765625" customWidth="1"/>
    <col min="9" max="9" width="3.09765625" customWidth="1"/>
    <col min="10" max="10" width="3.796875" customWidth="1"/>
    <col min="11" max="11" width="4.19921875" bestFit="1" customWidth="1"/>
    <col min="12" max="12" width="3.19921875" customWidth="1"/>
    <col min="13" max="13" width="3" customWidth="1"/>
    <col min="14" max="14" width="4.69921875" customWidth="1"/>
    <col min="15" max="15" width="3" customWidth="1"/>
    <col min="16" max="16" width="4" customWidth="1"/>
    <col min="17" max="17" width="4.09765625" customWidth="1"/>
    <col min="18" max="18" width="3.69921875" customWidth="1"/>
    <col min="19" max="19" width="3" customWidth="1"/>
    <col min="20" max="20" width="5.296875" customWidth="1"/>
    <col min="21" max="21" width="4.19921875" customWidth="1"/>
    <col min="22" max="22" width="3.59765625" customWidth="1"/>
    <col min="23" max="23" width="4.796875" style="2" customWidth="1"/>
    <col min="24" max="24" width="4.69921875" customWidth="1"/>
    <col min="25" max="25" width="3" customWidth="1"/>
    <col min="26" max="26" width="4.5" customWidth="1"/>
    <col min="27" max="27" width="6.69921875" style="2" customWidth="1"/>
  </cols>
  <sheetData>
    <row r="1" spans="1:29" ht="15.6" x14ac:dyDescent="0.3">
      <c r="B1" s="15" t="s">
        <v>494</v>
      </c>
      <c r="C1" s="6"/>
      <c r="D1" s="6"/>
      <c r="E1" s="6"/>
      <c r="F1" s="6"/>
      <c r="G1" s="6"/>
      <c r="H1" s="6"/>
      <c r="I1" s="6"/>
      <c r="J1" s="6"/>
      <c r="K1" s="6"/>
      <c r="L1" s="6"/>
      <c r="M1" s="6" t="s">
        <v>467</v>
      </c>
      <c r="N1" s="6"/>
      <c r="O1" s="6"/>
      <c r="P1" s="6"/>
      <c r="Q1" s="6"/>
      <c r="R1" s="6"/>
      <c r="S1" s="6"/>
      <c r="T1" s="6"/>
      <c r="U1" s="6"/>
      <c r="V1" s="6"/>
      <c r="W1" s="5"/>
      <c r="X1" s="6"/>
      <c r="Y1" s="6"/>
      <c r="Z1" s="6"/>
      <c r="AA1" s="5"/>
      <c r="AB1" s="5" t="s">
        <v>456</v>
      </c>
      <c r="AC1" s="6"/>
    </row>
    <row r="2" spans="1:29" ht="15.6" x14ac:dyDescent="0.3">
      <c r="B2" s="15" t="s">
        <v>81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5"/>
      <c r="X2" s="6"/>
      <c r="Y2" s="6"/>
      <c r="Z2" s="6"/>
      <c r="AA2" s="5"/>
      <c r="AB2" s="5" t="s">
        <v>100</v>
      </c>
      <c r="AC2" s="5"/>
    </row>
    <row r="3" spans="1:29" ht="15.6" x14ac:dyDescent="0.3">
      <c r="B3" s="15" t="s">
        <v>459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/>
      <c r="X3" s="6"/>
      <c r="Y3" s="6"/>
      <c r="Z3" s="6"/>
      <c r="AA3" s="5"/>
      <c r="AB3" s="5" t="s">
        <v>573</v>
      </c>
      <c r="AC3" s="5"/>
    </row>
    <row r="4" spans="1:29" ht="15.6" x14ac:dyDescent="0.3">
      <c r="B4" s="15" t="s">
        <v>460</v>
      </c>
      <c r="C4" s="6"/>
      <c r="D4" s="6"/>
      <c r="E4" s="6"/>
      <c r="F4" s="6"/>
      <c r="G4" s="6"/>
      <c r="H4" s="6"/>
      <c r="I4" s="6"/>
      <c r="J4" s="6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5"/>
      <c r="X4" s="6"/>
      <c r="Y4" s="6"/>
      <c r="Z4" s="6"/>
      <c r="AA4" s="5"/>
      <c r="AB4" s="5" t="s">
        <v>427</v>
      </c>
      <c r="AC4" s="5"/>
    </row>
    <row r="5" spans="1:29" ht="15.6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/>
      <c r="X5" s="6"/>
      <c r="Y5" s="6"/>
      <c r="Z5" s="6"/>
      <c r="AA5" s="5"/>
      <c r="AB5" s="5" t="s">
        <v>426</v>
      </c>
      <c r="AC5" s="5"/>
    </row>
    <row r="6" spans="1:29" ht="15.6" x14ac:dyDescent="0.3">
      <c r="B6" s="6"/>
      <c r="C6" s="5" t="s">
        <v>482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5"/>
      <c r="X6" s="6"/>
      <c r="Y6" s="6"/>
      <c r="Z6" s="6"/>
      <c r="AA6" s="5"/>
      <c r="AB6" s="5"/>
      <c r="AC6" s="5"/>
    </row>
    <row r="7" spans="1:29" ht="15.6" x14ac:dyDescent="0.3">
      <c r="A7" s="57" t="s">
        <v>0</v>
      </c>
      <c r="B7" s="66" t="s">
        <v>469</v>
      </c>
      <c r="C7" s="60" t="s">
        <v>458</v>
      </c>
      <c r="D7" s="61"/>
      <c r="E7" s="62"/>
      <c r="F7" s="60" t="s">
        <v>1</v>
      </c>
      <c r="G7" s="61"/>
      <c r="H7" s="62"/>
      <c r="I7" s="60" t="s">
        <v>2</v>
      </c>
      <c r="J7" s="61"/>
      <c r="K7" s="62"/>
      <c r="L7" s="60" t="s">
        <v>8</v>
      </c>
      <c r="M7" s="61"/>
      <c r="N7" s="62"/>
      <c r="O7" s="60" t="s">
        <v>3</v>
      </c>
      <c r="P7" s="61"/>
      <c r="Q7" s="62"/>
      <c r="R7" s="31"/>
      <c r="S7" s="31" t="s">
        <v>4</v>
      </c>
      <c r="T7" s="31"/>
      <c r="U7" s="60" t="s">
        <v>5</v>
      </c>
      <c r="V7" s="61"/>
      <c r="W7" s="62"/>
      <c r="X7" s="57" t="s">
        <v>16</v>
      </c>
      <c r="Y7" s="57" t="s">
        <v>17</v>
      </c>
      <c r="Z7" s="57" t="s">
        <v>18</v>
      </c>
      <c r="AA7" s="57" t="s">
        <v>19</v>
      </c>
      <c r="AB7" s="57" t="s">
        <v>20</v>
      </c>
      <c r="AC7" s="57" t="s">
        <v>21</v>
      </c>
    </row>
    <row r="8" spans="1:29" ht="55.2" x14ac:dyDescent="0.25">
      <c r="A8" s="58"/>
      <c r="B8" s="67"/>
      <c r="C8" s="32" t="s">
        <v>6</v>
      </c>
      <c r="D8" s="32" t="s">
        <v>461</v>
      </c>
      <c r="E8" s="32" t="s">
        <v>7</v>
      </c>
      <c r="F8" s="32" t="s">
        <v>6</v>
      </c>
      <c r="G8" s="32" t="s">
        <v>461</v>
      </c>
      <c r="H8" s="32" t="s">
        <v>7</v>
      </c>
      <c r="I8" s="32" t="s">
        <v>6</v>
      </c>
      <c r="J8" s="32" t="s">
        <v>461</v>
      </c>
      <c r="K8" s="32" t="s">
        <v>7</v>
      </c>
      <c r="L8" s="32" t="s">
        <v>6</v>
      </c>
      <c r="M8" s="32" t="s">
        <v>461</v>
      </c>
      <c r="N8" s="32" t="s">
        <v>7</v>
      </c>
      <c r="O8" s="32" t="s">
        <v>6</v>
      </c>
      <c r="P8" s="32" t="s">
        <v>461</v>
      </c>
      <c r="Q8" s="32" t="s">
        <v>7</v>
      </c>
      <c r="R8" s="32" t="s">
        <v>6</v>
      </c>
      <c r="S8" s="32" t="s">
        <v>461</v>
      </c>
      <c r="T8" s="32" t="s">
        <v>7</v>
      </c>
      <c r="U8" s="32" t="s">
        <v>6</v>
      </c>
      <c r="V8" s="32" t="s">
        <v>461</v>
      </c>
      <c r="W8" s="32" t="s">
        <v>7</v>
      </c>
      <c r="X8" s="58"/>
      <c r="Y8" s="58"/>
      <c r="Z8" s="58"/>
      <c r="AA8" s="58"/>
      <c r="AB8" s="58"/>
      <c r="AC8" s="58"/>
    </row>
    <row r="9" spans="1:29" ht="15.6" x14ac:dyDescent="0.3">
      <c r="A9" s="59"/>
      <c r="B9" s="68"/>
      <c r="C9" s="33">
        <v>50</v>
      </c>
      <c r="D9" s="33">
        <v>50</v>
      </c>
      <c r="E9" s="33">
        <v>100</v>
      </c>
      <c r="F9" s="33">
        <v>50</v>
      </c>
      <c r="G9" s="33">
        <v>50</v>
      </c>
      <c r="H9" s="33">
        <v>100</v>
      </c>
      <c r="I9" s="33">
        <v>50</v>
      </c>
      <c r="J9" s="33">
        <v>50</v>
      </c>
      <c r="K9" s="33">
        <v>100</v>
      </c>
      <c r="L9" s="33">
        <v>50</v>
      </c>
      <c r="M9" s="33">
        <v>50</v>
      </c>
      <c r="N9" s="33">
        <v>100</v>
      </c>
      <c r="O9" s="33">
        <v>50</v>
      </c>
      <c r="P9" s="33">
        <v>50</v>
      </c>
      <c r="Q9" s="33">
        <v>100</v>
      </c>
      <c r="R9" s="33">
        <v>50</v>
      </c>
      <c r="S9" s="33">
        <v>50</v>
      </c>
      <c r="T9" s="33">
        <v>100</v>
      </c>
      <c r="U9" s="33">
        <v>50</v>
      </c>
      <c r="V9" s="33">
        <v>50</v>
      </c>
      <c r="W9" s="33">
        <v>100</v>
      </c>
      <c r="X9" s="59"/>
      <c r="Y9" s="59"/>
      <c r="Z9" s="59"/>
      <c r="AA9" s="59"/>
      <c r="AB9" s="59"/>
      <c r="AC9" s="59"/>
    </row>
    <row r="10" spans="1:29" ht="15.6" x14ac:dyDescent="0.3">
      <c r="A10" s="26">
        <v>1</v>
      </c>
      <c r="B10" s="27" t="s">
        <v>120</v>
      </c>
      <c r="C10" s="26">
        <v>48</v>
      </c>
      <c r="D10" s="26">
        <v>42</v>
      </c>
      <c r="E10" s="33">
        <f t="shared" ref="E10:E29" si="0">SUM(C10:D10)</f>
        <v>90</v>
      </c>
      <c r="F10" s="26">
        <v>45</v>
      </c>
      <c r="G10" s="26">
        <v>43</v>
      </c>
      <c r="H10" s="33">
        <f t="shared" ref="H10:H29" si="1">SUM(F10:G10)</f>
        <v>88</v>
      </c>
      <c r="I10" s="26">
        <v>38</v>
      </c>
      <c r="J10" s="26">
        <v>44</v>
      </c>
      <c r="K10" s="33">
        <f t="shared" ref="K10:K29" si="2">SUM(I10:J10)</f>
        <v>82</v>
      </c>
      <c r="L10" s="26">
        <v>25</v>
      </c>
      <c r="M10" s="26">
        <v>25</v>
      </c>
      <c r="N10" s="33">
        <f t="shared" ref="N10:N29" si="3">SUM(L10:M10)</f>
        <v>50</v>
      </c>
      <c r="O10" s="26">
        <v>25</v>
      </c>
      <c r="P10" s="26">
        <v>26</v>
      </c>
      <c r="Q10" s="33">
        <f t="shared" ref="Q10:Q29" si="4">SUM(O10:P10)</f>
        <v>51</v>
      </c>
      <c r="R10" s="26">
        <v>42</v>
      </c>
      <c r="S10" s="26">
        <v>49</v>
      </c>
      <c r="T10" s="33">
        <f t="shared" ref="T10:T29" si="5">SUM(R10:S10)</f>
        <v>91</v>
      </c>
      <c r="U10" s="26">
        <v>36</v>
      </c>
      <c r="V10" s="26">
        <v>43</v>
      </c>
      <c r="W10" s="33">
        <f t="shared" ref="W10:W29" si="6">SUM(U10:V10)</f>
        <v>79</v>
      </c>
      <c r="X10" s="26"/>
      <c r="Y10" s="26"/>
      <c r="Z10" s="26"/>
      <c r="AA10" s="33">
        <f t="shared" ref="AA10:AA29" si="7">SUM(W10,T10,Q10,N10,K10,H10,E10)</f>
        <v>531</v>
      </c>
      <c r="AB10" s="26" t="s">
        <v>117</v>
      </c>
      <c r="AC10" s="29"/>
    </row>
    <row r="11" spans="1:29" ht="15.6" x14ac:dyDescent="0.3">
      <c r="A11" s="26">
        <v>2</v>
      </c>
      <c r="B11" s="27" t="s">
        <v>121</v>
      </c>
      <c r="C11" s="26">
        <v>25</v>
      </c>
      <c r="D11" s="26">
        <v>25</v>
      </c>
      <c r="E11" s="33">
        <f t="shared" si="0"/>
        <v>50</v>
      </c>
      <c r="F11" s="26">
        <v>25</v>
      </c>
      <c r="G11" s="26">
        <v>25</v>
      </c>
      <c r="H11" s="33">
        <f t="shared" si="1"/>
        <v>50</v>
      </c>
      <c r="I11" s="26">
        <v>25</v>
      </c>
      <c r="J11" s="26">
        <v>25</v>
      </c>
      <c r="K11" s="33">
        <f t="shared" si="2"/>
        <v>50</v>
      </c>
      <c r="L11" s="26">
        <v>25</v>
      </c>
      <c r="M11" s="26">
        <v>25</v>
      </c>
      <c r="N11" s="33">
        <f t="shared" si="3"/>
        <v>50</v>
      </c>
      <c r="O11" s="26">
        <v>25</v>
      </c>
      <c r="P11" s="26">
        <v>25</v>
      </c>
      <c r="Q11" s="33">
        <f t="shared" si="4"/>
        <v>50</v>
      </c>
      <c r="R11" s="26">
        <v>30</v>
      </c>
      <c r="S11" s="26">
        <v>42</v>
      </c>
      <c r="T11" s="33">
        <f t="shared" si="5"/>
        <v>72</v>
      </c>
      <c r="U11" s="26">
        <v>25</v>
      </c>
      <c r="V11" s="26">
        <v>25</v>
      </c>
      <c r="W11" s="33">
        <f t="shared" si="6"/>
        <v>50</v>
      </c>
      <c r="X11" s="26"/>
      <c r="Y11" s="26"/>
      <c r="Z11" s="26"/>
      <c r="AA11" s="33">
        <f t="shared" si="7"/>
        <v>372</v>
      </c>
      <c r="AB11" s="26" t="s">
        <v>117</v>
      </c>
      <c r="AC11" s="29"/>
    </row>
    <row r="12" spans="1:29" ht="15.6" x14ac:dyDescent="0.3">
      <c r="A12" s="26">
        <v>3</v>
      </c>
      <c r="B12" s="27" t="s">
        <v>122</v>
      </c>
      <c r="C12" s="26">
        <v>41</v>
      </c>
      <c r="D12" s="26">
        <v>29</v>
      </c>
      <c r="E12" s="33">
        <f t="shared" si="0"/>
        <v>70</v>
      </c>
      <c r="F12" s="26">
        <v>42</v>
      </c>
      <c r="G12" s="26">
        <v>45</v>
      </c>
      <c r="H12" s="33">
        <f t="shared" si="1"/>
        <v>87</v>
      </c>
      <c r="I12" s="26">
        <v>35</v>
      </c>
      <c r="J12" s="26">
        <v>26</v>
      </c>
      <c r="K12" s="33">
        <f t="shared" si="2"/>
        <v>61</v>
      </c>
      <c r="L12" s="26">
        <v>37</v>
      </c>
      <c r="M12" s="26">
        <v>45</v>
      </c>
      <c r="N12" s="33">
        <f t="shared" si="3"/>
        <v>82</v>
      </c>
      <c r="O12" s="26">
        <v>41</v>
      </c>
      <c r="P12" s="26">
        <v>38</v>
      </c>
      <c r="Q12" s="33">
        <f t="shared" si="4"/>
        <v>79</v>
      </c>
      <c r="R12" s="26">
        <v>33</v>
      </c>
      <c r="S12" s="26">
        <v>39</v>
      </c>
      <c r="T12" s="33">
        <f t="shared" si="5"/>
        <v>72</v>
      </c>
      <c r="U12" s="26">
        <v>36</v>
      </c>
      <c r="V12" s="26">
        <v>27</v>
      </c>
      <c r="W12" s="33">
        <f t="shared" si="6"/>
        <v>63</v>
      </c>
      <c r="X12" s="26"/>
      <c r="Y12" s="26"/>
      <c r="Z12" s="26"/>
      <c r="AA12" s="33">
        <f t="shared" si="7"/>
        <v>514</v>
      </c>
      <c r="AB12" s="26" t="s">
        <v>117</v>
      </c>
      <c r="AC12" s="29"/>
    </row>
    <row r="13" spans="1:29" ht="15.6" x14ac:dyDescent="0.3">
      <c r="A13" s="26">
        <v>4</v>
      </c>
      <c r="B13" s="27" t="s">
        <v>123</v>
      </c>
      <c r="C13" s="26">
        <v>25</v>
      </c>
      <c r="D13" s="26">
        <v>25</v>
      </c>
      <c r="E13" s="33">
        <f t="shared" si="0"/>
        <v>50</v>
      </c>
      <c r="F13" s="26">
        <v>27</v>
      </c>
      <c r="G13" s="26">
        <v>30</v>
      </c>
      <c r="H13" s="33">
        <f t="shared" si="1"/>
        <v>57</v>
      </c>
      <c r="I13" s="26">
        <v>29</v>
      </c>
      <c r="J13" s="26">
        <v>34</v>
      </c>
      <c r="K13" s="33">
        <f t="shared" si="2"/>
        <v>63</v>
      </c>
      <c r="L13" s="26">
        <v>25</v>
      </c>
      <c r="M13" s="26">
        <v>27</v>
      </c>
      <c r="N13" s="33">
        <f t="shared" si="3"/>
        <v>52</v>
      </c>
      <c r="O13" s="26">
        <v>25</v>
      </c>
      <c r="P13" s="26">
        <v>30</v>
      </c>
      <c r="Q13" s="33">
        <f t="shared" si="4"/>
        <v>55</v>
      </c>
      <c r="R13" s="26">
        <v>25</v>
      </c>
      <c r="S13" s="26">
        <v>27</v>
      </c>
      <c r="T13" s="33">
        <f t="shared" si="5"/>
        <v>52</v>
      </c>
      <c r="U13" s="26">
        <v>25</v>
      </c>
      <c r="V13" s="26">
        <v>25</v>
      </c>
      <c r="W13" s="33">
        <f t="shared" si="6"/>
        <v>50</v>
      </c>
      <c r="X13" s="26"/>
      <c r="Y13" s="26"/>
      <c r="Z13" s="26"/>
      <c r="AA13" s="33">
        <f t="shared" si="7"/>
        <v>379</v>
      </c>
      <c r="AB13" s="26" t="s">
        <v>117</v>
      </c>
      <c r="AC13" s="29"/>
    </row>
    <row r="14" spans="1:29" ht="15.6" x14ac:dyDescent="0.3">
      <c r="A14" s="26">
        <v>5</v>
      </c>
      <c r="B14" s="27" t="s">
        <v>124</v>
      </c>
      <c r="C14" s="26">
        <v>34</v>
      </c>
      <c r="D14" s="26">
        <v>30</v>
      </c>
      <c r="E14" s="33">
        <f t="shared" si="0"/>
        <v>64</v>
      </c>
      <c r="F14" s="26">
        <v>44</v>
      </c>
      <c r="G14" s="26">
        <v>38</v>
      </c>
      <c r="H14" s="33">
        <f t="shared" si="1"/>
        <v>82</v>
      </c>
      <c r="I14" s="26">
        <v>25</v>
      </c>
      <c r="J14" s="26">
        <v>25</v>
      </c>
      <c r="K14" s="33">
        <f t="shared" si="2"/>
        <v>50</v>
      </c>
      <c r="L14" s="26">
        <v>25</v>
      </c>
      <c r="M14" s="26">
        <v>25</v>
      </c>
      <c r="N14" s="33">
        <f t="shared" si="3"/>
        <v>50</v>
      </c>
      <c r="O14" s="26">
        <v>25</v>
      </c>
      <c r="P14" s="26">
        <v>28</v>
      </c>
      <c r="Q14" s="33">
        <f t="shared" si="4"/>
        <v>53</v>
      </c>
      <c r="R14" s="26">
        <v>28</v>
      </c>
      <c r="S14" s="26">
        <v>29</v>
      </c>
      <c r="T14" s="33">
        <f t="shared" si="5"/>
        <v>57</v>
      </c>
      <c r="U14" s="26">
        <v>25</v>
      </c>
      <c r="V14" s="26">
        <v>25</v>
      </c>
      <c r="W14" s="33">
        <f t="shared" si="6"/>
        <v>50</v>
      </c>
      <c r="X14" s="26"/>
      <c r="Y14" s="26"/>
      <c r="Z14" s="26"/>
      <c r="AA14" s="33">
        <f t="shared" si="7"/>
        <v>406</v>
      </c>
      <c r="AB14" s="26" t="s">
        <v>117</v>
      </c>
      <c r="AC14" s="29"/>
    </row>
    <row r="15" spans="1:29" ht="15.6" x14ac:dyDescent="0.3">
      <c r="A15" s="26">
        <v>6</v>
      </c>
      <c r="B15" s="27" t="s">
        <v>603</v>
      </c>
      <c r="C15" s="26">
        <v>25</v>
      </c>
      <c r="D15" s="26">
        <v>25</v>
      </c>
      <c r="E15" s="33">
        <f t="shared" si="0"/>
        <v>50</v>
      </c>
      <c r="F15" s="26">
        <v>38</v>
      </c>
      <c r="G15" s="26">
        <v>26</v>
      </c>
      <c r="H15" s="33">
        <f t="shared" si="1"/>
        <v>64</v>
      </c>
      <c r="I15" s="26">
        <v>26</v>
      </c>
      <c r="J15" s="26">
        <v>25</v>
      </c>
      <c r="K15" s="33">
        <f t="shared" si="2"/>
        <v>51</v>
      </c>
      <c r="L15" s="26">
        <v>31</v>
      </c>
      <c r="M15" s="26">
        <v>31</v>
      </c>
      <c r="N15" s="33">
        <f t="shared" si="3"/>
        <v>62</v>
      </c>
      <c r="O15" s="26">
        <v>25</v>
      </c>
      <c r="P15" s="26">
        <v>25</v>
      </c>
      <c r="Q15" s="33">
        <f t="shared" si="4"/>
        <v>50</v>
      </c>
      <c r="R15" s="26">
        <v>33</v>
      </c>
      <c r="S15" s="26">
        <v>25</v>
      </c>
      <c r="T15" s="33">
        <f t="shared" si="5"/>
        <v>58</v>
      </c>
      <c r="U15" s="26">
        <v>25</v>
      </c>
      <c r="V15" s="26">
        <v>30</v>
      </c>
      <c r="W15" s="33">
        <f t="shared" si="6"/>
        <v>55</v>
      </c>
      <c r="X15" s="26"/>
      <c r="Y15" s="26"/>
      <c r="Z15" s="26"/>
      <c r="AA15" s="33">
        <f t="shared" si="7"/>
        <v>390</v>
      </c>
      <c r="AB15" s="26" t="s">
        <v>117</v>
      </c>
      <c r="AC15" s="29"/>
    </row>
    <row r="16" spans="1:29" ht="15.6" x14ac:dyDescent="0.3">
      <c r="A16" s="26">
        <v>7</v>
      </c>
      <c r="B16" s="27" t="s">
        <v>125</v>
      </c>
      <c r="C16" s="26">
        <v>25</v>
      </c>
      <c r="D16" s="26">
        <v>25</v>
      </c>
      <c r="E16" s="33">
        <f t="shared" si="0"/>
        <v>50</v>
      </c>
      <c r="F16" s="26">
        <v>41</v>
      </c>
      <c r="G16" s="26">
        <v>30</v>
      </c>
      <c r="H16" s="33">
        <f t="shared" si="1"/>
        <v>71</v>
      </c>
      <c r="I16" s="26">
        <v>26</v>
      </c>
      <c r="J16" s="26">
        <v>26</v>
      </c>
      <c r="K16" s="33">
        <f t="shared" si="2"/>
        <v>52</v>
      </c>
      <c r="L16" s="26">
        <v>25</v>
      </c>
      <c r="M16" s="26">
        <v>28</v>
      </c>
      <c r="N16" s="33">
        <f t="shared" si="3"/>
        <v>53</v>
      </c>
      <c r="O16" s="26">
        <v>25</v>
      </c>
      <c r="P16" s="26">
        <v>26</v>
      </c>
      <c r="Q16" s="33">
        <f t="shared" si="4"/>
        <v>51</v>
      </c>
      <c r="R16" s="26">
        <v>26</v>
      </c>
      <c r="S16" s="26">
        <v>26</v>
      </c>
      <c r="T16" s="33">
        <f t="shared" si="5"/>
        <v>52</v>
      </c>
      <c r="U16" s="26">
        <v>28</v>
      </c>
      <c r="V16" s="26">
        <v>28</v>
      </c>
      <c r="W16" s="33">
        <f t="shared" si="6"/>
        <v>56</v>
      </c>
      <c r="X16" s="26"/>
      <c r="Y16" s="26"/>
      <c r="Z16" s="26"/>
      <c r="AA16" s="33">
        <f t="shared" si="7"/>
        <v>385</v>
      </c>
      <c r="AB16" s="26" t="s">
        <v>117</v>
      </c>
      <c r="AC16" s="29"/>
    </row>
    <row r="17" spans="1:29" ht="15.6" x14ac:dyDescent="0.3">
      <c r="A17" s="26">
        <v>8</v>
      </c>
      <c r="B17" s="27" t="s">
        <v>636</v>
      </c>
      <c r="C17" s="26">
        <v>25</v>
      </c>
      <c r="D17" s="26">
        <v>27</v>
      </c>
      <c r="E17" s="33">
        <f t="shared" si="0"/>
        <v>52</v>
      </c>
      <c r="F17" s="26">
        <v>27</v>
      </c>
      <c r="G17" s="26">
        <v>35</v>
      </c>
      <c r="H17" s="33">
        <f t="shared" si="1"/>
        <v>62</v>
      </c>
      <c r="I17" s="26">
        <v>32</v>
      </c>
      <c r="J17" s="26">
        <v>27</v>
      </c>
      <c r="K17" s="33">
        <f t="shared" si="2"/>
        <v>59</v>
      </c>
      <c r="L17" s="26">
        <v>33</v>
      </c>
      <c r="M17" s="26">
        <v>30</v>
      </c>
      <c r="N17" s="33">
        <f t="shared" si="3"/>
        <v>63</v>
      </c>
      <c r="O17" s="26">
        <v>25</v>
      </c>
      <c r="P17" s="26">
        <v>25</v>
      </c>
      <c r="Q17" s="33">
        <f t="shared" si="4"/>
        <v>50</v>
      </c>
      <c r="R17" s="26">
        <v>32</v>
      </c>
      <c r="S17" s="26">
        <v>29</v>
      </c>
      <c r="T17" s="33">
        <f t="shared" si="5"/>
        <v>61</v>
      </c>
      <c r="U17" s="26">
        <v>27</v>
      </c>
      <c r="V17" s="26">
        <v>28</v>
      </c>
      <c r="W17" s="33">
        <f t="shared" si="6"/>
        <v>55</v>
      </c>
      <c r="X17" s="26"/>
      <c r="Y17" s="26"/>
      <c r="Z17" s="26"/>
      <c r="AA17" s="33">
        <f t="shared" si="7"/>
        <v>402</v>
      </c>
      <c r="AB17" s="26" t="s">
        <v>117</v>
      </c>
      <c r="AC17" s="29"/>
    </row>
    <row r="18" spans="1:29" ht="15.6" x14ac:dyDescent="0.3">
      <c r="A18" s="26">
        <v>9</v>
      </c>
      <c r="B18" s="27" t="s">
        <v>126</v>
      </c>
      <c r="C18" s="26">
        <v>25</v>
      </c>
      <c r="D18" s="26">
        <v>25</v>
      </c>
      <c r="E18" s="33">
        <f t="shared" si="0"/>
        <v>50</v>
      </c>
      <c r="F18" s="26">
        <v>25</v>
      </c>
      <c r="G18" s="26">
        <v>33</v>
      </c>
      <c r="H18" s="33">
        <f t="shared" si="1"/>
        <v>58</v>
      </c>
      <c r="I18" s="26">
        <v>25</v>
      </c>
      <c r="J18" s="26">
        <v>25</v>
      </c>
      <c r="K18" s="33">
        <f t="shared" si="2"/>
        <v>50</v>
      </c>
      <c r="L18" s="26">
        <v>26</v>
      </c>
      <c r="M18" s="26">
        <v>25</v>
      </c>
      <c r="N18" s="33">
        <f t="shared" si="3"/>
        <v>51</v>
      </c>
      <c r="O18" s="26">
        <v>25</v>
      </c>
      <c r="P18" s="26">
        <v>25</v>
      </c>
      <c r="Q18" s="33">
        <f t="shared" si="4"/>
        <v>50</v>
      </c>
      <c r="R18" s="26">
        <v>34</v>
      </c>
      <c r="S18" s="26">
        <v>25</v>
      </c>
      <c r="T18" s="33">
        <f t="shared" si="5"/>
        <v>59</v>
      </c>
      <c r="U18" s="26">
        <v>25</v>
      </c>
      <c r="V18" s="26">
        <v>25</v>
      </c>
      <c r="W18" s="33">
        <f t="shared" si="6"/>
        <v>50</v>
      </c>
      <c r="X18" s="26"/>
      <c r="Y18" s="26"/>
      <c r="Z18" s="26"/>
      <c r="AA18" s="33">
        <f t="shared" si="7"/>
        <v>368</v>
      </c>
      <c r="AB18" s="26" t="s">
        <v>117</v>
      </c>
      <c r="AC18" s="29"/>
    </row>
    <row r="19" spans="1:29" ht="15.6" x14ac:dyDescent="0.3">
      <c r="A19" s="26">
        <v>10</v>
      </c>
      <c r="B19" s="27" t="s">
        <v>127</v>
      </c>
      <c r="C19" s="26">
        <v>25</v>
      </c>
      <c r="D19" s="26">
        <v>25</v>
      </c>
      <c r="E19" s="33">
        <f t="shared" si="0"/>
        <v>50</v>
      </c>
      <c r="F19" s="26">
        <v>26</v>
      </c>
      <c r="G19" s="26">
        <v>25</v>
      </c>
      <c r="H19" s="33">
        <f t="shared" si="1"/>
        <v>51</v>
      </c>
      <c r="I19" s="26">
        <v>25</v>
      </c>
      <c r="J19" s="26">
        <v>25</v>
      </c>
      <c r="K19" s="33">
        <f t="shared" si="2"/>
        <v>50</v>
      </c>
      <c r="L19" s="26">
        <v>29</v>
      </c>
      <c r="M19" s="26">
        <v>27</v>
      </c>
      <c r="N19" s="33">
        <f t="shared" si="3"/>
        <v>56</v>
      </c>
      <c r="O19" s="26">
        <v>25</v>
      </c>
      <c r="P19" s="26">
        <v>25</v>
      </c>
      <c r="Q19" s="33">
        <f t="shared" si="4"/>
        <v>50</v>
      </c>
      <c r="R19" s="26">
        <v>28</v>
      </c>
      <c r="S19" s="26">
        <v>25</v>
      </c>
      <c r="T19" s="33">
        <f t="shared" si="5"/>
        <v>53</v>
      </c>
      <c r="U19" s="26">
        <v>25</v>
      </c>
      <c r="V19" s="26">
        <v>28</v>
      </c>
      <c r="W19" s="33">
        <f t="shared" si="6"/>
        <v>53</v>
      </c>
      <c r="X19" s="26"/>
      <c r="Y19" s="26"/>
      <c r="Z19" s="26"/>
      <c r="AA19" s="33">
        <f t="shared" si="7"/>
        <v>363</v>
      </c>
      <c r="AB19" s="26" t="s">
        <v>117</v>
      </c>
      <c r="AC19" s="29"/>
    </row>
    <row r="20" spans="1:29" ht="15.6" x14ac:dyDescent="0.3">
      <c r="A20" s="26">
        <v>11</v>
      </c>
      <c r="B20" s="27" t="s">
        <v>128</v>
      </c>
      <c r="C20" s="26">
        <v>49</v>
      </c>
      <c r="D20" s="26">
        <v>50</v>
      </c>
      <c r="E20" s="33">
        <f t="shared" si="0"/>
        <v>99</v>
      </c>
      <c r="F20" s="26">
        <v>50</v>
      </c>
      <c r="G20" s="26">
        <v>50</v>
      </c>
      <c r="H20" s="33">
        <f t="shared" si="1"/>
        <v>100</v>
      </c>
      <c r="I20" s="26">
        <v>50</v>
      </c>
      <c r="J20" s="26">
        <v>50</v>
      </c>
      <c r="K20" s="33">
        <f t="shared" si="2"/>
        <v>100</v>
      </c>
      <c r="L20" s="26">
        <v>50</v>
      </c>
      <c r="M20" s="26">
        <v>50</v>
      </c>
      <c r="N20" s="33">
        <f t="shared" si="3"/>
        <v>100</v>
      </c>
      <c r="O20" s="26">
        <v>50</v>
      </c>
      <c r="P20" s="26">
        <v>50</v>
      </c>
      <c r="Q20" s="33">
        <f t="shared" si="4"/>
        <v>100</v>
      </c>
      <c r="R20" s="26">
        <v>50</v>
      </c>
      <c r="S20" s="26">
        <v>50</v>
      </c>
      <c r="T20" s="33">
        <f t="shared" si="5"/>
        <v>100</v>
      </c>
      <c r="U20" s="26">
        <v>44</v>
      </c>
      <c r="V20" s="26">
        <v>50</v>
      </c>
      <c r="W20" s="33">
        <f t="shared" si="6"/>
        <v>94</v>
      </c>
      <c r="X20" s="26"/>
      <c r="Y20" s="26"/>
      <c r="Z20" s="26"/>
      <c r="AA20" s="33">
        <f t="shared" si="7"/>
        <v>693</v>
      </c>
      <c r="AB20" s="26" t="s">
        <v>117</v>
      </c>
      <c r="AC20" s="29"/>
    </row>
    <row r="21" spans="1:29" ht="15.6" x14ac:dyDescent="0.3">
      <c r="A21" s="26">
        <v>12</v>
      </c>
      <c r="B21" s="27" t="s">
        <v>129</v>
      </c>
      <c r="C21" s="26">
        <v>41</v>
      </c>
      <c r="D21" s="26">
        <v>37</v>
      </c>
      <c r="E21" s="33">
        <f t="shared" si="0"/>
        <v>78</v>
      </c>
      <c r="F21" s="26">
        <v>32</v>
      </c>
      <c r="G21" s="26">
        <v>25</v>
      </c>
      <c r="H21" s="33">
        <f t="shared" si="1"/>
        <v>57</v>
      </c>
      <c r="I21" s="26">
        <v>29</v>
      </c>
      <c r="J21" s="26">
        <v>27</v>
      </c>
      <c r="K21" s="33">
        <f t="shared" si="2"/>
        <v>56</v>
      </c>
      <c r="L21" s="26">
        <v>28</v>
      </c>
      <c r="M21" s="26">
        <v>27</v>
      </c>
      <c r="N21" s="33">
        <f t="shared" si="3"/>
        <v>55</v>
      </c>
      <c r="O21" s="26">
        <v>28</v>
      </c>
      <c r="P21" s="26">
        <v>30</v>
      </c>
      <c r="Q21" s="33">
        <f t="shared" si="4"/>
        <v>58</v>
      </c>
      <c r="R21" s="26">
        <v>29</v>
      </c>
      <c r="S21" s="26">
        <v>25</v>
      </c>
      <c r="T21" s="33">
        <f t="shared" si="5"/>
        <v>54</v>
      </c>
      <c r="U21" s="26">
        <v>27</v>
      </c>
      <c r="V21" s="26">
        <v>28</v>
      </c>
      <c r="W21" s="33">
        <f t="shared" si="6"/>
        <v>55</v>
      </c>
      <c r="X21" s="26"/>
      <c r="Y21" s="26"/>
      <c r="Z21" s="26"/>
      <c r="AA21" s="33">
        <f t="shared" si="7"/>
        <v>413</v>
      </c>
      <c r="AB21" s="26" t="s">
        <v>117</v>
      </c>
      <c r="AC21" s="29"/>
    </row>
    <row r="22" spans="1:29" ht="15.6" x14ac:dyDescent="0.3">
      <c r="A22" s="26">
        <v>13</v>
      </c>
      <c r="B22" s="27" t="s">
        <v>130</v>
      </c>
      <c r="C22" s="26">
        <v>25</v>
      </c>
      <c r="D22" s="26">
        <v>25</v>
      </c>
      <c r="E22" s="33">
        <f t="shared" si="0"/>
        <v>50</v>
      </c>
      <c r="F22" s="26">
        <v>32</v>
      </c>
      <c r="G22" s="26">
        <v>35</v>
      </c>
      <c r="H22" s="33">
        <f t="shared" si="1"/>
        <v>67</v>
      </c>
      <c r="I22" s="26">
        <v>26</v>
      </c>
      <c r="J22" s="26">
        <v>25</v>
      </c>
      <c r="K22" s="33">
        <f t="shared" si="2"/>
        <v>51</v>
      </c>
      <c r="L22" s="26">
        <v>25</v>
      </c>
      <c r="M22" s="26">
        <v>25</v>
      </c>
      <c r="N22" s="33">
        <f t="shared" si="3"/>
        <v>50</v>
      </c>
      <c r="O22" s="26">
        <v>25</v>
      </c>
      <c r="P22" s="26">
        <v>25</v>
      </c>
      <c r="Q22" s="33">
        <f t="shared" si="4"/>
        <v>50</v>
      </c>
      <c r="R22" s="26">
        <v>32</v>
      </c>
      <c r="S22" s="26">
        <v>25</v>
      </c>
      <c r="T22" s="33">
        <f t="shared" si="5"/>
        <v>57</v>
      </c>
      <c r="U22" s="26">
        <v>25</v>
      </c>
      <c r="V22" s="26">
        <v>25</v>
      </c>
      <c r="W22" s="33">
        <f t="shared" si="6"/>
        <v>50</v>
      </c>
      <c r="X22" s="26"/>
      <c r="Y22" s="26"/>
      <c r="Z22" s="26"/>
      <c r="AA22" s="33">
        <f t="shared" si="7"/>
        <v>375</v>
      </c>
      <c r="AB22" s="26" t="s">
        <v>117</v>
      </c>
      <c r="AC22" s="29"/>
    </row>
    <row r="23" spans="1:29" ht="15.6" x14ac:dyDescent="0.3">
      <c r="A23" s="26">
        <v>14</v>
      </c>
      <c r="B23" s="27" t="s">
        <v>606</v>
      </c>
      <c r="C23" s="26">
        <v>41</v>
      </c>
      <c r="D23" s="26">
        <v>45</v>
      </c>
      <c r="E23" s="33">
        <f t="shared" si="0"/>
        <v>86</v>
      </c>
      <c r="F23" s="26">
        <v>36</v>
      </c>
      <c r="G23" s="26">
        <v>40</v>
      </c>
      <c r="H23" s="33">
        <f t="shared" si="1"/>
        <v>76</v>
      </c>
      <c r="I23" s="26">
        <v>34</v>
      </c>
      <c r="J23" s="26">
        <v>33</v>
      </c>
      <c r="K23" s="33">
        <f t="shared" si="2"/>
        <v>67</v>
      </c>
      <c r="L23" s="26">
        <v>47</v>
      </c>
      <c r="M23" s="26">
        <v>30</v>
      </c>
      <c r="N23" s="33">
        <f t="shared" si="3"/>
        <v>77</v>
      </c>
      <c r="O23" s="26">
        <v>33</v>
      </c>
      <c r="P23" s="26">
        <v>37</v>
      </c>
      <c r="Q23" s="33">
        <f t="shared" si="4"/>
        <v>70</v>
      </c>
      <c r="R23" s="26">
        <v>32</v>
      </c>
      <c r="S23" s="26">
        <v>35</v>
      </c>
      <c r="T23" s="33">
        <f t="shared" si="5"/>
        <v>67</v>
      </c>
      <c r="U23" s="26">
        <v>28</v>
      </c>
      <c r="V23" s="26">
        <v>33</v>
      </c>
      <c r="W23" s="33">
        <f t="shared" si="6"/>
        <v>61</v>
      </c>
      <c r="X23" s="26"/>
      <c r="Y23" s="26"/>
      <c r="Z23" s="26"/>
      <c r="AA23" s="33">
        <f t="shared" si="7"/>
        <v>504</v>
      </c>
      <c r="AB23" s="26" t="s">
        <v>117</v>
      </c>
      <c r="AC23" s="29"/>
    </row>
    <row r="24" spans="1:29" ht="15.6" x14ac:dyDescent="0.3">
      <c r="A24" s="26">
        <v>15</v>
      </c>
      <c r="B24" s="27" t="s">
        <v>131</v>
      </c>
      <c r="C24" s="26">
        <v>26</v>
      </c>
      <c r="D24" s="26">
        <v>30</v>
      </c>
      <c r="E24" s="33">
        <f t="shared" si="0"/>
        <v>56</v>
      </c>
      <c r="F24" s="26">
        <v>32</v>
      </c>
      <c r="G24" s="26">
        <v>34</v>
      </c>
      <c r="H24" s="33">
        <f t="shared" si="1"/>
        <v>66</v>
      </c>
      <c r="I24" s="26">
        <v>25</v>
      </c>
      <c r="J24" s="26">
        <v>29</v>
      </c>
      <c r="K24" s="33">
        <f t="shared" si="2"/>
        <v>54</v>
      </c>
      <c r="L24" s="26">
        <v>42</v>
      </c>
      <c r="M24" s="26">
        <v>27</v>
      </c>
      <c r="N24" s="33">
        <f t="shared" si="3"/>
        <v>69</v>
      </c>
      <c r="O24" s="26">
        <v>30</v>
      </c>
      <c r="P24" s="26">
        <v>30</v>
      </c>
      <c r="Q24" s="33">
        <f t="shared" si="4"/>
        <v>60</v>
      </c>
      <c r="R24" s="26">
        <v>25</v>
      </c>
      <c r="S24" s="26">
        <v>27</v>
      </c>
      <c r="T24" s="33">
        <f t="shared" si="5"/>
        <v>52</v>
      </c>
      <c r="U24" s="26">
        <v>25</v>
      </c>
      <c r="V24" s="26">
        <v>30</v>
      </c>
      <c r="W24" s="33">
        <f t="shared" si="6"/>
        <v>55</v>
      </c>
      <c r="X24" s="26"/>
      <c r="Y24" s="26"/>
      <c r="Z24" s="26"/>
      <c r="AA24" s="33">
        <f t="shared" si="7"/>
        <v>412</v>
      </c>
      <c r="AB24" s="26" t="s">
        <v>117</v>
      </c>
      <c r="AC24" s="29"/>
    </row>
    <row r="25" spans="1:29" ht="15.6" x14ac:dyDescent="0.3">
      <c r="A25" s="26">
        <v>16</v>
      </c>
      <c r="B25" s="27" t="s">
        <v>607</v>
      </c>
      <c r="C25" s="26">
        <v>25</v>
      </c>
      <c r="D25" s="26">
        <v>26</v>
      </c>
      <c r="E25" s="33">
        <f t="shared" si="0"/>
        <v>51</v>
      </c>
      <c r="F25" s="26">
        <v>45</v>
      </c>
      <c r="G25" s="26">
        <v>36</v>
      </c>
      <c r="H25" s="56">
        <f t="shared" si="1"/>
        <v>81</v>
      </c>
      <c r="I25" s="26">
        <v>31</v>
      </c>
      <c r="J25" s="26">
        <v>28</v>
      </c>
      <c r="K25" s="33">
        <f t="shared" si="2"/>
        <v>59</v>
      </c>
      <c r="L25" s="26">
        <v>25</v>
      </c>
      <c r="M25" s="26">
        <v>25</v>
      </c>
      <c r="N25" s="33">
        <f t="shared" si="3"/>
        <v>50</v>
      </c>
      <c r="O25" s="26">
        <v>25</v>
      </c>
      <c r="P25" s="26">
        <v>26</v>
      </c>
      <c r="Q25" s="33">
        <f t="shared" si="4"/>
        <v>51</v>
      </c>
      <c r="R25" s="26">
        <v>28</v>
      </c>
      <c r="S25" s="26">
        <v>32</v>
      </c>
      <c r="T25" s="33">
        <f t="shared" si="5"/>
        <v>60</v>
      </c>
      <c r="U25" s="26">
        <v>29</v>
      </c>
      <c r="V25" s="26">
        <v>29</v>
      </c>
      <c r="W25" s="33">
        <f t="shared" si="6"/>
        <v>58</v>
      </c>
      <c r="X25" s="26"/>
      <c r="Y25" s="26"/>
      <c r="Z25" s="26"/>
      <c r="AA25" s="33">
        <f t="shared" si="7"/>
        <v>410</v>
      </c>
      <c r="AB25" s="26" t="s">
        <v>117</v>
      </c>
      <c r="AC25" s="29"/>
    </row>
    <row r="26" spans="1:29" ht="15.6" x14ac:dyDescent="0.3">
      <c r="A26" s="26">
        <v>17</v>
      </c>
      <c r="B26" s="27" t="s">
        <v>132</v>
      </c>
      <c r="C26" s="26">
        <v>45</v>
      </c>
      <c r="D26" s="26">
        <v>40</v>
      </c>
      <c r="E26" s="33">
        <f t="shared" si="0"/>
        <v>85</v>
      </c>
      <c r="F26" s="26">
        <v>42</v>
      </c>
      <c r="G26" s="26">
        <v>25</v>
      </c>
      <c r="H26" s="33">
        <f t="shared" si="1"/>
        <v>67</v>
      </c>
      <c r="I26" s="26">
        <v>37</v>
      </c>
      <c r="J26" s="26">
        <v>30</v>
      </c>
      <c r="K26" s="33">
        <f t="shared" si="2"/>
        <v>67</v>
      </c>
      <c r="L26" s="26">
        <v>46</v>
      </c>
      <c r="M26" s="26">
        <v>40</v>
      </c>
      <c r="N26" s="33">
        <f t="shared" si="3"/>
        <v>86</v>
      </c>
      <c r="O26" s="26">
        <v>39</v>
      </c>
      <c r="P26" s="26">
        <v>29</v>
      </c>
      <c r="Q26" s="33">
        <f t="shared" si="4"/>
        <v>68</v>
      </c>
      <c r="R26" s="26">
        <v>32</v>
      </c>
      <c r="S26" s="26">
        <v>38</v>
      </c>
      <c r="T26" s="33">
        <f t="shared" si="5"/>
        <v>70</v>
      </c>
      <c r="U26" s="26">
        <v>34</v>
      </c>
      <c r="V26" s="26">
        <v>30</v>
      </c>
      <c r="W26" s="33">
        <f t="shared" si="6"/>
        <v>64</v>
      </c>
      <c r="X26" s="26"/>
      <c r="Y26" s="26"/>
      <c r="Z26" s="26"/>
      <c r="AA26" s="33">
        <f t="shared" si="7"/>
        <v>507</v>
      </c>
      <c r="AB26" s="26" t="s">
        <v>117</v>
      </c>
      <c r="AC26" s="29"/>
    </row>
    <row r="27" spans="1:29" ht="15.6" x14ac:dyDescent="0.3">
      <c r="A27" s="26">
        <v>18</v>
      </c>
      <c r="B27" s="27" t="s">
        <v>608</v>
      </c>
      <c r="C27" s="26">
        <v>31</v>
      </c>
      <c r="D27" s="26">
        <v>27</v>
      </c>
      <c r="E27" s="33">
        <f t="shared" si="0"/>
        <v>58</v>
      </c>
      <c r="F27" s="26">
        <v>34</v>
      </c>
      <c r="G27" s="26">
        <v>25</v>
      </c>
      <c r="H27" s="33">
        <f t="shared" si="1"/>
        <v>59</v>
      </c>
      <c r="I27" s="26">
        <v>25</v>
      </c>
      <c r="J27" s="26">
        <v>25</v>
      </c>
      <c r="K27" s="33">
        <f t="shared" si="2"/>
        <v>50</v>
      </c>
      <c r="L27" s="26">
        <v>38</v>
      </c>
      <c r="M27" s="26">
        <v>32</v>
      </c>
      <c r="N27" s="33">
        <f t="shared" si="3"/>
        <v>70</v>
      </c>
      <c r="O27" s="26">
        <v>38</v>
      </c>
      <c r="P27" s="26">
        <v>25</v>
      </c>
      <c r="Q27" s="33">
        <f t="shared" si="4"/>
        <v>63</v>
      </c>
      <c r="R27" s="26">
        <v>32</v>
      </c>
      <c r="S27" s="26">
        <v>26</v>
      </c>
      <c r="T27" s="33">
        <f t="shared" si="5"/>
        <v>58</v>
      </c>
      <c r="U27" s="26">
        <v>30</v>
      </c>
      <c r="V27" s="26">
        <v>27</v>
      </c>
      <c r="W27" s="33">
        <f t="shared" si="6"/>
        <v>57</v>
      </c>
      <c r="X27" s="26"/>
      <c r="Y27" s="26"/>
      <c r="Z27" s="26"/>
      <c r="AA27" s="33">
        <f t="shared" si="7"/>
        <v>415</v>
      </c>
      <c r="AB27" s="26" t="s">
        <v>117</v>
      </c>
      <c r="AC27" s="29"/>
    </row>
    <row r="28" spans="1:29" ht="15.6" x14ac:dyDescent="0.3">
      <c r="A28" s="26">
        <v>19</v>
      </c>
      <c r="B28" s="27" t="s">
        <v>133</v>
      </c>
      <c r="C28" s="26">
        <v>25</v>
      </c>
      <c r="D28" s="26">
        <v>25</v>
      </c>
      <c r="E28" s="33">
        <f t="shared" si="0"/>
        <v>50</v>
      </c>
      <c r="F28" s="26">
        <v>25</v>
      </c>
      <c r="G28" s="26">
        <v>36</v>
      </c>
      <c r="H28" s="33">
        <f t="shared" si="1"/>
        <v>61</v>
      </c>
      <c r="I28" s="26">
        <v>31</v>
      </c>
      <c r="J28" s="26">
        <v>25</v>
      </c>
      <c r="K28" s="33">
        <f t="shared" si="2"/>
        <v>56</v>
      </c>
      <c r="L28" s="26">
        <v>25</v>
      </c>
      <c r="M28" s="26">
        <v>30</v>
      </c>
      <c r="N28" s="33">
        <f t="shared" si="3"/>
        <v>55</v>
      </c>
      <c r="O28" s="26">
        <v>31</v>
      </c>
      <c r="P28" s="26">
        <v>25</v>
      </c>
      <c r="Q28" s="33">
        <f t="shared" si="4"/>
        <v>56</v>
      </c>
      <c r="R28" s="26">
        <v>32</v>
      </c>
      <c r="S28" s="26">
        <v>35</v>
      </c>
      <c r="T28" s="33">
        <f t="shared" si="5"/>
        <v>67</v>
      </c>
      <c r="U28" s="26">
        <v>28</v>
      </c>
      <c r="V28" s="26">
        <v>25</v>
      </c>
      <c r="W28" s="33">
        <f t="shared" si="6"/>
        <v>53</v>
      </c>
      <c r="X28" s="26"/>
      <c r="Y28" s="26"/>
      <c r="Z28" s="26"/>
      <c r="AA28" s="33">
        <f t="shared" si="7"/>
        <v>398</v>
      </c>
      <c r="AB28" s="26" t="s">
        <v>117</v>
      </c>
      <c r="AC28" s="29"/>
    </row>
    <row r="29" spans="1:29" ht="15.6" x14ac:dyDescent="0.3">
      <c r="A29" s="26">
        <v>20</v>
      </c>
      <c r="B29" s="27" t="s">
        <v>134</v>
      </c>
      <c r="C29" s="26">
        <v>34</v>
      </c>
      <c r="D29" s="26">
        <v>31</v>
      </c>
      <c r="E29" s="33">
        <f t="shared" si="0"/>
        <v>65</v>
      </c>
      <c r="F29" s="26">
        <v>41</v>
      </c>
      <c r="G29" s="26">
        <v>30</v>
      </c>
      <c r="H29" s="33">
        <f t="shared" si="1"/>
        <v>71</v>
      </c>
      <c r="I29" s="26">
        <v>29</v>
      </c>
      <c r="J29" s="26">
        <v>29</v>
      </c>
      <c r="K29" s="33">
        <f t="shared" si="2"/>
        <v>58</v>
      </c>
      <c r="L29" s="26">
        <v>25</v>
      </c>
      <c r="M29" s="26">
        <v>32</v>
      </c>
      <c r="N29" s="33">
        <f t="shared" si="3"/>
        <v>57</v>
      </c>
      <c r="O29" s="26">
        <v>25</v>
      </c>
      <c r="P29" s="26">
        <v>30</v>
      </c>
      <c r="Q29" s="33">
        <f t="shared" si="4"/>
        <v>55</v>
      </c>
      <c r="R29" s="26">
        <v>37</v>
      </c>
      <c r="S29" s="26">
        <v>32</v>
      </c>
      <c r="T29" s="33">
        <f t="shared" si="5"/>
        <v>69</v>
      </c>
      <c r="U29" s="26">
        <v>27</v>
      </c>
      <c r="V29" s="26">
        <v>31</v>
      </c>
      <c r="W29" s="33">
        <f t="shared" si="6"/>
        <v>58</v>
      </c>
      <c r="X29" s="26"/>
      <c r="Y29" s="26"/>
      <c r="Z29" s="26"/>
      <c r="AA29" s="33">
        <f t="shared" si="7"/>
        <v>433</v>
      </c>
      <c r="AB29" s="26" t="s">
        <v>117</v>
      </c>
      <c r="AC29" s="29"/>
    </row>
    <row r="30" spans="1:29" x14ac:dyDescent="0.25">
      <c r="A30" s="3" t="s">
        <v>276</v>
      </c>
      <c r="B30" s="3"/>
      <c r="C30" s="3"/>
      <c r="D30" s="3"/>
      <c r="E30" s="3"/>
      <c r="F30" s="3"/>
      <c r="G30" s="3" t="s">
        <v>468</v>
      </c>
      <c r="H30" s="3"/>
      <c r="I30" s="3"/>
      <c r="J30" s="3"/>
      <c r="K30" s="3"/>
      <c r="L30" s="3"/>
      <c r="M30" s="3"/>
      <c r="N30" s="3"/>
      <c r="O30" s="3" t="s">
        <v>82</v>
      </c>
      <c r="P30" s="3"/>
      <c r="Q30" s="3"/>
      <c r="R30" s="3"/>
      <c r="S30" s="3"/>
      <c r="T30" s="3"/>
      <c r="U30" s="3" t="s">
        <v>83</v>
      </c>
      <c r="V30" s="3"/>
      <c r="W30" s="3"/>
      <c r="X30" s="3"/>
      <c r="Y30" s="3"/>
      <c r="Z30" s="3"/>
      <c r="AA30" s="3"/>
      <c r="AB30" s="3" t="s">
        <v>84</v>
      </c>
      <c r="AC30" s="3"/>
    </row>
    <row r="31" spans="1:29" x14ac:dyDescent="0.25">
      <c r="A31" s="22" t="s">
        <v>89</v>
      </c>
      <c r="B31" s="22"/>
      <c r="C31" s="22"/>
      <c r="D31" s="22"/>
      <c r="E31" s="22"/>
      <c r="F31" s="22" t="s">
        <v>90</v>
      </c>
      <c r="G31" s="22"/>
      <c r="H31" s="22"/>
      <c r="I31" s="22"/>
      <c r="J31" s="22"/>
      <c r="K31" s="22"/>
      <c r="L31" s="22"/>
      <c r="M31" s="22"/>
      <c r="N31" s="22" t="s">
        <v>462</v>
      </c>
      <c r="O31" s="22"/>
      <c r="P31" s="22"/>
      <c r="Q31" s="22"/>
      <c r="R31" s="22"/>
      <c r="S31" s="22"/>
      <c r="T31" s="22" t="s">
        <v>463</v>
      </c>
      <c r="U31" s="22"/>
      <c r="V31" s="22"/>
      <c r="W31" s="22"/>
      <c r="X31" s="22"/>
      <c r="Y31" s="22"/>
      <c r="Z31" s="3"/>
      <c r="AA31" s="3"/>
      <c r="AB31" s="3" t="s">
        <v>85</v>
      </c>
      <c r="AC31" s="3"/>
    </row>
    <row r="32" spans="1:29" x14ac:dyDescent="0.25">
      <c r="A32" s="22" t="s">
        <v>466</v>
      </c>
      <c r="B32" s="22"/>
      <c r="C32" s="22"/>
      <c r="D32" s="22"/>
      <c r="E32" s="22"/>
      <c r="F32" s="22" t="s">
        <v>91</v>
      </c>
      <c r="G32" s="22"/>
      <c r="H32" s="22"/>
      <c r="I32" s="22"/>
      <c r="J32" s="22"/>
      <c r="K32" s="22"/>
      <c r="L32" s="22"/>
      <c r="M32" s="22"/>
      <c r="N32" s="22" t="s">
        <v>94</v>
      </c>
      <c r="O32" s="22"/>
      <c r="P32" s="22"/>
      <c r="Q32" s="22"/>
      <c r="R32" s="22"/>
      <c r="S32" s="22"/>
      <c r="T32" s="22" t="s">
        <v>97</v>
      </c>
      <c r="U32" s="22"/>
      <c r="V32" s="22"/>
      <c r="W32" s="22"/>
      <c r="X32" s="22"/>
      <c r="Y32" s="22"/>
      <c r="Z32" s="3"/>
      <c r="AA32" s="3"/>
      <c r="AB32" s="3" t="s">
        <v>99</v>
      </c>
      <c r="AC32" s="3"/>
    </row>
    <row r="33" spans="1:29" x14ac:dyDescent="0.25">
      <c r="A33" s="22" t="s">
        <v>89</v>
      </c>
      <c r="B33" s="22"/>
      <c r="C33" s="22"/>
      <c r="D33" s="22"/>
      <c r="E33" s="22"/>
      <c r="F33" s="22" t="s">
        <v>92</v>
      </c>
      <c r="G33" s="22"/>
      <c r="H33" s="22"/>
      <c r="I33" s="22"/>
      <c r="J33" s="22"/>
      <c r="K33" s="22"/>
      <c r="L33" s="22"/>
      <c r="M33" s="22"/>
      <c r="N33" s="22" t="s">
        <v>95</v>
      </c>
      <c r="O33" s="22"/>
      <c r="P33" s="22"/>
      <c r="Q33" s="22"/>
      <c r="R33" s="22"/>
      <c r="S33" s="22"/>
      <c r="T33" s="22" t="s">
        <v>98</v>
      </c>
      <c r="U33" s="22"/>
      <c r="V33" s="22"/>
      <c r="W33" s="22"/>
      <c r="X33" s="22"/>
      <c r="Y33" s="22"/>
      <c r="Z33" s="3"/>
      <c r="AA33" s="3"/>
      <c r="AB33" s="3"/>
      <c r="AC33" s="3"/>
    </row>
    <row r="37" spans="1:29" ht="15.6" x14ac:dyDescent="0.3">
      <c r="A37" s="5"/>
      <c r="B37" s="15" t="s">
        <v>494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 t="s">
        <v>467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 t="s">
        <v>456</v>
      </c>
      <c r="AC37" s="5"/>
    </row>
    <row r="38" spans="1:29" ht="15.6" x14ac:dyDescent="0.3">
      <c r="A38" s="5"/>
      <c r="B38" s="15" t="s">
        <v>81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 t="s">
        <v>100</v>
      </c>
      <c r="AC38" s="5"/>
    </row>
    <row r="39" spans="1:29" ht="15.6" x14ac:dyDescent="0.3">
      <c r="A39" s="5"/>
      <c r="B39" s="15" t="s">
        <v>459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 t="s">
        <v>158</v>
      </c>
      <c r="AC39" s="5"/>
    </row>
    <row r="40" spans="1:29" ht="15.6" x14ac:dyDescent="0.3">
      <c r="A40" s="5"/>
      <c r="B40" s="15" t="s">
        <v>460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 t="s">
        <v>103</v>
      </c>
      <c r="AC40" s="5"/>
    </row>
    <row r="41" spans="1:29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 t="s">
        <v>157</v>
      </c>
      <c r="AC41" s="5"/>
    </row>
    <row r="42" spans="1:29" ht="15.6" x14ac:dyDescent="0.3">
      <c r="A42" s="5"/>
      <c r="B42" s="5"/>
      <c r="C42" s="5" t="s">
        <v>482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.6" x14ac:dyDescent="0.3">
      <c r="A43" s="57" t="s">
        <v>0</v>
      </c>
      <c r="B43" s="66" t="s">
        <v>469</v>
      </c>
      <c r="C43" s="60" t="s">
        <v>458</v>
      </c>
      <c r="D43" s="61"/>
      <c r="E43" s="62"/>
      <c r="F43" s="60" t="s">
        <v>1</v>
      </c>
      <c r="G43" s="61"/>
      <c r="H43" s="62"/>
      <c r="I43" s="60" t="s">
        <v>2</v>
      </c>
      <c r="J43" s="61"/>
      <c r="K43" s="62"/>
      <c r="L43" s="60" t="s">
        <v>8</v>
      </c>
      <c r="M43" s="61"/>
      <c r="N43" s="62"/>
      <c r="O43" s="60" t="s">
        <v>3</v>
      </c>
      <c r="P43" s="61"/>
      <c r="Q43" s="62"/>
      <c r="R43" s="31"/>
      <c r="S43" s="31" t="s">
        <v>4</v>
      </c>
      <c r="T43" s="31"/>
      <c r="U43" s="60" t="s">
        <v>5</v>
      </c>
      <c r="V43" s="61"/>
      <c r="W43" s="62"/>
      <c r="X43" s="57" t="s">
        <v>16</v>
      </c>
      <c r="Y43" s="57" t="s">
        <v>17</v>
      </c>
      <c r="Z43" s="57" t="s">
        <v>18</v>
      </c>
      <c r="AA43" s="57" t="s">
        <v>19</v>
      </c>
      <c r="AB43" s="57" t="s">
        <v>20</v>
      </c>
      <c r="AC43" s="57" t="s">
        <v>21</v>
      </c>
    </row>
    <row r="44" spans="1:29" ht="55.2" x14ac:dyDescent="0.25">
      <c r="A44" s="58"/>
      <c r="B44" s="67"/>
      <c r="C44" s="32" t="s">
        <v>6</v>
      </c>
      <c r="D44" s="32" t="s">
        <v>461</v>
      </c>
      <c r="E44" s="32" t="s">
        <v>7</v>
      </c>
      <c r="F44" s="32" t="s">
        <v>6</v>
      </c>
      <c r="G44" s="32" t="s">
        <v>461</v>
      </c>
      <c r="H44" s="32" t="s">
        <v>7</v>
      </c>
      <c r="I44" s="32" t="s">
        <v>6</v>
      </c>
      <c r="J44" s="32" t="s">
        <v>461</v>
      </c>
      <c r="K44" s="32" t="s">
        <v>7</v>
      </c>
      <c r="L44" s="32" t="s">
        <v>6</v>
      </c>
      <c r="M44" s="32" t="s">
        <v>461</v>
      </c>
      <c r="N44" s="32" t="s">
        <v>7</v>
      </c>
      <c r="O44" s="32" t="s">
        <v>6</v>
      </c>
      <c r="P44" s="32" t="s">
        <v>461</v>
      </c>
      <c r="Q44" s="32" t="s">
        <v>7</v>
      </c>
      <c r="R44" s="32" t="s">
        <v>6</v>
      </c>
      <c r="S44" s="32" t="s">
        <v>461</v>
      </c>
      <c r="T44" s="32" t="s">
        <v>7</v>
      </c>
      <c r="U44" s="32" t="s">
        <v>6</v>
      </c>
      <c r="V44" s="32" t="s">
        <v>461</v>
      </c>
      <c r="W44" s="32" t="s">
        <v>7</v>
      </c>
      <c r="X44" s="58"/>
      <c r="Y44" s="58"/>
      <c r="Z44" s="58"/>
      <c r="AA44" s="58"/>
      <c r="AB44" s="58"/>
      <c r="AC44" s="58"/>
    </row>
    <row r="45" spans="1:29" ht="15.6" x14ac:dyDescent="0.3">
      <c r="A45" s="59"/>
      <c r="B45" s="68"/>
      <c r="C45" s="33">
        <v>50</v>
      </c>
      <c r="D45" s="33">
        <v>50</v>
      </c>
      <c r="E45" s="33">
        <v>100</v>
      </c>
      <c r="F45" s="33">
        <v>50</v>
      </c>
      <c r="G45" s="33">
        <v>50</v>
      </c>
      <c r="H45" s="33">
        <v>100</v>
      </c>
      <c r="I45" s="33">
        <v>50</v>
      </c>
      <c r="J45" s="33">
        <v>50</v>
      </c>
      <c r="K45" s="33">
        <v>100</v>
      </c>
      <c r="L45" s="33">
        <v>50</v>
      </c>
      <c r="M45" s="33">
        <v>50</v>
      </c>
      <c r="N45" s="33">
        <v>100</v>
      </c>
      <c r="O45" s="33">
        <v>50</v>
      </c>
      <c r="P45" s="33">
        <v>50</v>
      </c>
      <c r="Q45" s="33">
        <v>100</v>
      </c>
      <c r="R45" s="33">
        <v>50</v>
      </c>
      <c r="S45" s="33">
        <v>50</v>
      </c>
      <c r="T45" s="33">
        <v>100</v>
      </c>
      <c r="U45" s="33">
        <v>50</v>
      </c>
      <c r="V45" s="33">
        <v>50</v>
      </c>
      <c r="W45" s="33">
        <v>100</v>
      </c>
      <c r="X45" s="59"/>
      <c r="Y45" s="59"/>
      <c r="Z45" s="59"/>
      <c r="AA45" s="59"/>
      <c r="AB45" s="59"/>
      <c r="AC45" s="59"/>
    </row>
    <row r="46" spans="1:29" ht="15.6" x14ac:dyDescent="0.3">
      <c r="A46" s="26">
        <v>21</v>
      </c>
      <c r="B46" s="27" t="s">
        <v>135</v>
      </c>
      <c r="C46" s="26">
        <v>25</v>
      </c>
      <c r="D46" s="26">
        <v>26</v>
      </c>
      <c r="E46" s="33">
        <f t="shared" ref="E46:E65" si="8">SUM(C46:D46)</f>
        <v>51</v>
      </c>
      <c r="F46" s="26">
        <v>25</v>
      </c>
      <c r="G46" s="26">
        <v>25</v>
      </c>
      <c r="H46" s="33">
        <f t="shared" ref="H46:H65" si="9">SUM(F46:G46)</f>
        <v>50</v>
      </c>
      <c r="I46" s="26">
        <v>27</v>
      </c>
      <c r="J46" s="26">
        <v>27</v>
      </c>
      <c r="K46" s="33">
        <f t="shared" ref="K46:K65" si="10">SUM(I46:J46)</f>
        <v>54</v>
      </c>
      <c r="L46" s="26">
        <v>25</v>
      </c>
      <c r="M46" s="26">
        <v>28</v>
      </c>
      <c r="N46" s="33">
        <f t="shared" ref="N46:N65" si="11">SUM(L46:M46)</f>
        <v>53</v>
      </c>
      <c r="O46" s="26">
        <v>25</v>
      </c>
      <c r="P46" s="26">
        <v>25</v>
      </c>
      <c r="Q46" s="33">
        <f t="shared" ref="Q46:Q65" si="12">SUM(O46:P46)</f>
        <v>50</v>
      </c>
      <c r="R46" s="26">
        <v>33</v>
      </c>
      <c r="S46" s="26">
        <v>25</v>
      </c>
      <c r="T46" s="33">
        <f t="shared" ref="T46:T65" si="13">SUM(R46:S46)</f>
        <v>58</v>
      </c>
      <c r="U46" s="26">
        <v>25</v>
      </c>
      <c r="V46" s="26">
        <v>27</v>
      </c>
      <c r="W46" s="33">
        <f t="shared" ref="W46:W65" si="14">SUM(U46:V46)</f>
        <v>52</v>
      </c>
      <c r="X46" s="26"/>
      <c r="Y46" s="26"/>
      <c r="Z46" s="26"/>
      <c r="AA46" s="33">
        <f t="shared" ref="AA46:AA65" si="15">SUM(W46,T46,Q46,N46,K46,H46,E46)</f>
        <v>368</v>
      </c>
      <c r="AB46" s="26" t="s">
        <v>117</v>
      </c>
      <c r="AC46" s="29"/>
    </row>
    <row r="47" spans="1:29" ht="15.6" x14ac:dyDescent="0.3">
      <c r="A47" s="26">
        <v>22</v>
      </c>
      <c r="B47" s="27" t="s">
        <v>136</v>
      </c>
      <c r="C47" s="26">
        <v>44</v>
      </c>
      <c r="D47" s="26">
        <v>25</v>
      </c>
      <c r="E47" s="33">
        <f t="shared" si="8"/>
        <v>69</v>
      </c>
      <c r="F47" s="26">
        <v>44</v>
      </c>
      <c r="G47" s="26">
        <v>42</v>
      </c>
      <c r="H47" s="33">
        <f t="shared" si="9"/>
        <v>86</v>
      </c>
      <c r="I47" s="26">
        <v>31</v>
      </c>
      <c r="J47" s="26">
        <v>29</v>
      </c>
      <c r="K47" s="33">
        <f t="shared" si="10"/>
        <v>60</v>
      </c>
      <c r="L47" s="26">
        <v>34</v>
      </c>
      <c r="M47" s="26">
        <v>38</v>
      </c>
      <c r="N47" s="33">
        <f t="shared" si="11"/>
        <v>72</v>
      </c>
      <c r="O47" s="26">
        <v>38</v>
      </c>
      <c r="P47" s="26">
        <v>28</v>
      </c>
      <c r="Q47" s="33">
        <f t="shared" si="12"/>
        <v>66</v>
      </c>
      <c r="R47" s="26">
        <v>29</v>
      </c>
      <c r="S47" s="26">
        <v>30</v>
      </c>
      <c r="T47" s="33">
        <f t="shared" si="13"/>
        <v>59</v>
      </c>
      <c r="U47" s="26">
        <v>32</v>
      </c>
      <c r="V47" s="26">
        <v>26</v>
      </c>
      <c r="W47" s="33">
        <f t="shared" si="14"/>
        <v>58</v>
      </c>
      <c r="X47" s="26"/>
      <c r="Y47" s="26"/>
      <c r="Z47" s="26"/>
      <c r="AA47" s="33">
        <f t="shared" si="15"/>
        <v>470</v>
      </c>
      <c r="AB47" s="26" t="s">
        <v>117</v>
      </c>
      <c r="AC47" s="29"/>
    </row>
    <row r="48" spans="1:29" ht="15.6" x14ac:dyDescent="0.3">
      <c r="A48" s="26">
        <v>23</v>
      </c>
      <c r="B48" s="27" t="s">
        <v>137</v>
      </c>
      <c r="C48" s="26">
        <v>25</v>
      </c>
      <c r="D48" s="26">
        <v>25</v>
      </c>
      <c r="E48" s="33">
        <f t="shared" si="8"/>
        <v>50</v>
      </c>
      <c r="F48" s="26">
        <v>25</v>
      </c>
      <c r="G48" s="26">
        <v>25</v>
      </c>
      <c r="H48" s="33">
        <f t="shared" si="9"/>
        <v>50</v>
      </c>
      <c r="I48" s="26">
        <v>25</v>
      </c>
      <c r="J48" s="26">
        <v>25</v>
      </c>
      <c r="K48" s="33">
        <f t="shared" si="10"/>
        <v>50</v>
      </c>
      <c r="L48" s="26">
        <v>25</v>
      </c>
      <c r="M48" s="26">
        <v>25</v>
      </c>
      <c r="N48" s="33">
        <f t="shared" si="11"/>
        <v>50</v>
      </c>
      <c r="O48" s="26">
        <v>25</v>
      </c>
      <c r="P48" s="26">
        <v>28</v>
      </c>
      <c r="Q48" s="33">
        <f t="shared" si="12"/>
        <v>53</v>
      </c>
      <c r="R48" s="26">
        <v>34</v>
      </c>
      <c r="S48" s="26">
        <v>31</v>
      </c>
      <c r="T48" s="33">
        <f t="shared" si="13"/>
        <v>65</v>
      </c>
      <c r="U48" s="26">
        <v>25</v>
      </c>
      <c r="V48" s="26">
        <v>25</v>
      </c>
      <c r="W48" s="33">
        <f t="shared" si="14"/>
        <v>50</v>
      </c>
      <c r="X48" s="26"/>
      <c r="Y48" s="26"/>
      <c r="Z48" s="26"/>
      <c r="AA48" s="33">
        <f t="shared" si="15"/>
        <v>368</v>
      </c>
      <c r="AB48" s="26" t="s">
        <v>117</v>
      </c>
      <c r="AC48" s="29"/>
    </row>
    <row r="49" spans="1:29" ht="15.6" x14ac:dyDescent="0.3">
      <c r="A49" s="26">
        <v>24</v>
      </c>
      <c r="B49" s="27" t="s">
        <v>609</v>
      </c>
      <c r="C49" s="26">
        <v>25</v>
      </c>
      <c r="D49" s="26">
        <v>25</v>
      </c>
      <c r="E49" s="33">
        <f t="shared" si="8"/>
        <v>50</v>
      </c>
      <c r="F49" s="26">
        <v>24</v>
      </c>
      <c r="G49" s="26">
        <v>26</v>
      </c>
      <c r="H49" s="33">
        <f t="shared" si="9"/>
        <v>50</v>
      </c>
      <c r="I49" s="26">
        <v>25</v>
      </c>
      <c r="J49" s="26">
        <v>25</v>
      </c>
      <c r="K49" s="33">
        <f t="shared" si="10"/>
        <v>50</v>
      </c>
      <c r="L49" s="26">
        <v>25</v>
      </c>
      <c r="M49" s="26">
        <v>25</v>
      </c>
      <c r="N49" s="33">
        <f t="shared" si="11"/>
        <v>50</v>
      </c>
      <c r="O49" s="26">
        <v>25</v>
      </c>
      <c r="P49" s="26">
        <v>25</v>
      </c>
      <c r="Q49" s="33">
        <f>SUM(O49:P49)</f>
        <v>50</v>
      </c>
      <c r="R49" s="26">
        <v>29</v>
      </c>
      <c r="S49" s="26">
        <v>31</v>
      </c>
      <c r="T49" s="33">
        <f t="shared" si="13"/>
        <v>60</v>
      </c>
      <c r="U49" s="26">
        <v>25</v>
      </c>
      <c r="V49" s="26">
        <v>25</v>
      </c>
      <c r="W49" s="33">
        <f t="shared" si="14"/>
        <v>50</v>
      </c>
      <c r="X49" s="26"/>
      <c r="Y49" s="26"/>
      <c r="Z49" s="26"/>
      <c r="AA49" s="33">
        <f t="shared" si="15"/>
        <v>360</v>
      </c>
      <c r="AB49" s="26" t="s">
        <v>117</v>
      </c>
      <c r="AC49" s="29"/>
    </row>
    <row r="50" spans="1:29" ht="15.6" x14ac:dyDescent="0.3">
      <c r="A50" s="26">
        <v>25</v>
      </c>
      <c r="B50" s="27" t="s">
        <v>138</v>
      </c>
      <c r="C50" s="26">
        <v>39</v>
      </c>
      <c r="D50" s="26">
        <v>25</v>
      </c>
      <c r="E50" s="33">
        <f t="shared" si="8"/>
        <v>64</v>
      </c>
      <c r="F50" s="26">
        <v>46</v>
      </c>
      <c r="G50" s="26">
        <v>40</v>
      </c>
      <c r="H50" s="33">
        <f t="shared" si="9"/>
        <v>86</v>
      </c>
      <c r="I50" s="26">
        <v>40</v>
      </c>
      <c r="J50" s="26">
        <v>32</v>
      </c>
      <c r="K50" s="33">
        <f t="shared" si="10"/>
        <v>72</v>
      </c>
      <c r="L50" s="26">
        <v>35</v>
      </c>
      <c r="M50" s="26">
        <v>33</v>
      </c>
      <c r="N50" s="33">
        <f t="shared" si="11"/>
        <v>68</v>
      </c>
      <c r="O50" s="26">
        <v>33</v>
      </c>
      <c r="P50" s="26">
        <v>27</v>
      </c>
      <c r="Q50" s="33">
        <f t="shared" si="12"/>
        <v>60</v>
      </c>
      <c r="R50" s="26">
        <v>38</v>
      </c>
      <c r="S50" s="26">
        <v>37</v>
      </c>
      <c r="T50" s="33">
        <f t="shared" si="13"/>
        <v>75</v>
      </c>
      <c r="U50" s="26">
        <v>27</v>
      </c>
      <c r="V50" s="26">
        <v>29</v>
      </c>
      <c r="W50" s="33">
        <f t="shared" si="14"/>
        <v>56</v>
      </c>
      <c r="X50" s="26"/>
      <c r="Y50" s="26"/>
      <c r="Z50" s="26"/>
      <c r="AA50" s="33">
        <f t="shared" si="15"/>
        <v>481</v>
      </c>
      <c r="AB50" s="26" t="s">
        <v>117</v>
      </c>
      <c r="AC50" s="29"/>
    </row>
    <row r="51" spans="1:29" ht="15.6" x14ac:dyDescent="0.3">
      <c r="A51" s="26">
        <v>26</v>
      </c>
      <c r="B51" s="27" t="s">
        <v>635</v>
      </c>
      <c r="C51" s="26">
        <v>25</v>
      </c>
      <c r="D51" s="26">
        <v>25</v>
      </c>
      <c r="E51" s="33">
        <f t="shared" si="8"/>
        <v>50</v>
      </c>
      <c r="F51" s="26">
        <v>35</v>
      </c>
      <c r="G51" s="26">
        <v>32</v>
      </c>
      <c r="H51" s="33">
        <f t="shared" si="9"/>
        <v>67</v>
      </c>
      <c r="I51" s="26">
        <v>28</v>
      </c>
      <c r="J51" s="26">
        <v>25</v>
      </c>
      <c r="K51" s="33">
        <f t="shared" si="10"/>
        <v>53</v>
      </c>
      <c r="L51" s="26">
        <v>25</v>
      </c>
      <c r="M51" s="26">
        <v>25</v>
      </c>
      <c r="N51" s="33">
        <f t="shared" si="11"/>
        <v>50</v>
      </c>
      <c r="O51" s="26">
        <v>24</v>
      </c>
      <c r="P51" s="26">
        <v>27</v>
      </c>
      <c r="Q51" s="33">
        <f t="shared" si="12"/>
        <v>51</v>
      </c>
      <c r="R51" s="26">
        <v>28</v>
      </c>
      <c r="S51" s="26">
        <v>25</v>
      </c>
      <c r="T51" s="33">
        <f t="shared" si="13"/>
        <v>53</v>
      </c>
      <c r="U51" s="26">
        <v>25</v>
      </c>
      <c r="V51" s="26">
        <v>25</v>
      </c>
      <c r="W51" s="33">
        <f t="shared" si="14"/>
        <v>50</v>
      </c>
      <c r="X51" s="26"/>
      <c r="Y51" s="26"/>
      <c r="Z51" s="26"/>
      <c r="AA51" s="33">
        <f t="shared" si="15"/>
        <v>374</v>
      </c>
      <c r="AB51" s="26" t="s">
        <v>117</v>
      </c>
      <c r="AC51" s="29"/>
    </row>
    <row r="52" spans="1:29" ht="15.6" x14ac:dyDescent="0.3">
      <c r="A52" s="26">
        <v>27</v>
      </c>
      <c r="B52" s="27" t="s">
        <v>139</v>
      </c>
      <c r="C52" s="26">
        <v>25</v>
      </c>
      <c r="D52" s="26">
        <v>25</v>
      </c>
      <c r="E52" s="33">
        <f t="shared" si="8"/>
        <v>50</v>
      </c>
      <c r="F52" s="26">
        <v>41</v>
      </c>
      <c r="G52" s="26">
        <v>25</v>
      </c>
      <c r="H52" s="33">
        <f t="shared" si="9"/>
        <v>66</v>
      </c>
      <c r="I52" s="26">
        <v>27</v>
      </c>
      <c r="J52" s="26">
        <v>31</v>
      </c>
      <c r="K52" s="33">
        <f t="shared" si="10"/>
        <v>58</v>
      </c>
      <c r="L52" s="26">
        <v>25</v>
      </c>
      <c r="M52" s="26">
        <v>25</v>
      </c>
      <c r="N52" s="33">
        <f t="shared" si="11"/>
        <v>50</v>
      </c>
      <c r="O52" s="26">
        <v>25</v>
      </c>
      <c r="P52" s="26">
        <v>26</v>
      </c>
      <c r="Q52" s="33">
        <f t="shared" si="12"/>
        <v>51</v>
      </c>
      <c r="R52" s="26">
        <v>37</v>
      </c>
      <c r="S52" s="26">
        <v>27</v>
      </c>
      <c r="T52" s="33">
        <f t="shared" si="13"/>
        <v>64</v>
      </c>
      <c r="U52" s="26">
        <v>30</v>
      </c>
      <c r="V52" s="26">
        <v>25</v>
      </c>
      <c r="W52" s="33">
        <f t="shared" si="14"/>
        <v>55</v>
      </c>
      <c r="X52" s="26"/>
      <c r="Y52" s="26"/>
      <c r="Z52" s="26"/>
      <c r="AA52" s="33">
        <f>SUM(W52,T52,Q52,N52,K52,H52,E52)</f>
        <v>394</v>
      </c>
      <c r="AB52" s="26" t="s">
        <v>117</v>
      </c>
      <c r="AC52" s="29"/>
    </row>
    <row r="53" spans="1:29" ht="15.6" x14ac:dyDescent="0.3">
      <c r="A53" s="26">
        <v>28</v>
      </c>
      <c r="B53" s="27" t="s">
        <v>140</v>
      </c>
      <c r="C53" s="26">
        <v>25</v>
      </c>
      <c r="D53" s="26">
        <v>30</v>
      </c>
      <c r="E53" s="33">
        <f t="shared" si="8"/>
        <v>55</v>
      </c>
      <c r="F53" s="26">
        <v>32</v>
      </c>
      <c r="G53" s="26">
        <v>43</v>
      </c>
      <c r="H53" s="33">
        <f t="shared" si="9"/>
        <v>75</v>
      </c>
      <c r="I53" s="26">
        <v>27</v>
      </c>
      <c r="J53" s="26">
        <v>25</v>
      </c>
      <c r="K53" s="33">
        <f t="shared" si="10"/>
        <v>52</v>
      </c>
      <c r="L53" s="26">
        <v>25</v>
      </c>
      <c r="M53" s="26">
        <v>25</v>
      </c>
      <c r="N53" s="33">
        <f t="shared" si="11"/>
        <v>50</v>
      </c>
      <c r="O53" s="26">
        <v>25</v>
      </c>
      <c r="P53" s="26">
        <v>25</v>
      </c>
      <c r="Q53" s="33">
        <f t="shared" si="12"/>
        <v>50</v>
      </c>
      <c r="R53" s="26">
        <v>25</v>
      </c>
      <c r="S53" s="26">
        <v>25</v>
      </c>
      <c r="T53" s="33">
        <f t="shared" si="13"/>
        <v>50</v>
      </c>
      <c r="U53" s="26">
        <v>25</v>
      </c>
      <c r="V53" s="26">
        <v>26</v>
      </c>
      <c r="W53" s="33">
        <f t="shared" si="14"/>
        <v>51</v>
      </c>
      <c r="X53" s="26"/>
      <c r="Y53" s="26"/>
      <c r="Z53" s="26"/>
      <c r="AA53" s="33">
        <f t="shared" si="15"/>
        <v>383</v>
      </c>
      <c r="AB53" s="26" t="s">
        <v>117</v>
      </c>
      <c r="AC53" s="29"/>
    </row>
    <row r="54" spans="1:29" ht="15.6" x14ac:dyDescent="0.3">
      <c r="A54" s="26">
        <v>29</v>
      </c>
      <c r="B54" s="27" t="s">
        <v>141</v>
      </c>
      <c r="C54" s="26">
        <v>26</v>
      </c>
      <c r="D54" s="26">
        <v>25</v>
      </c>
      <c r="E54" s="33">
        <f t="shared" si="8"/>
        <v>51</v>
      </c>
      <c r="F54" s="26">
        <v>30</v>
      </c>
      <c r="G54" s="26">
        <v>25</v>
      </c>
      <c r="H54" s="33">
        <f t="shared" si="9"/>
        <v>55</v>
      </c>
      <c r="I54" s="26">
        <v>31</v>
      </c>
      <c r="J54" s="26">
        <v>26</v>
      </c>
      <c r="K54" s="33">
        <f t="shared" si="10"/>
        <v>57</v>
      </c>
      <c r="L54" s="26">
        <v>35</v>
      </c>
      <c r="M54" s="26">
        <v>28</v>
      </c>
      <c r="N54" s="33">
        <f t="shared" si="11"/>
        <v>63</v>
      </c>
      <c r="O54" s="26">
        <v>30</v>
      </c>
      <c r="P54" s="26">
        <v>28</v>
      </c>
      <c r="Q54" s="33">
        <f t="shared" si="12"/>
        <v>58</v>
      </c>
      <c r="R54" s="26">
        <v>31</v>
      </c>
      <c r="S54" s="26">
        <v>27</v>
      </c>
      <c r="T54" s="33">
        <f t="shared" si="13"/>
        <v>58</v>
      </c>
      <c r="U54" s="26">
        <v>25</v>
      </c>
      <c r="V54" s="26">
        <v>28</v>
      </c>
      <c r="W54" s="33">
        <f t="shared" si="14"/>
        <v>53</v>
      </c>
      <c r="X54" s="26"/>
      <c r="Y54" s="26"/>
      <c r="Z54" s="26"/>
      <c r="AA54" s="33">
        <f t="shared" si="15"/>
        <v>395</v>
      </c>
      <c r="AB54" s="26" t="s">
        <v>117</v>
      </c>
      <c r="AC54" s="29"/>
    </row>
    <row r="55" spans="1:29" ht="15.6" x14ac:dyDescent="0.3">
      <c r="A55" s="26">
        <v>30</v>
      </c>
      <c r="B55" s="27" t="s">
        <v>142</v>
      </c>
      <c r="C55" s="26">
        <v>25</v>
      </c>
      <c r="D55" s="26">
        <v>25</v>
      </c>
      <c r="E55" s="33">
        <f t="shared" si="8"/>
        <v>50</v>
      </c>
      <c r="F55" s="26">
        <v>29</v>
      </c>
      <c r="G55" s="26">
        <v>27</v>
      </c>
      <c r="H55" s="33">
        <f t="shared" si="9"/>
        <v>56</v>
      </c>
      <c r="I55" s="26">
        <v>25</v>
      </c>
      <c r="J55" s="26">
        <v>25</v>
      </c>
      <c r="K55" s="33">
        <f t="shared" si="10"/>
        <v>50</v>
      </c>
      <c r="L55" s="26">
        <v>25</v>
      </c>
      <c r="M55" s="26">
        <v>25</v>
      </c>
      <c r="N55" s="33">
        <f t="shared" si="11"/>
        <v>50</v>
      </c>
      <c r="O55" s="26">
        <v>25</v>
      </c>
      <c r="P55" s="26">
        <v>25</v>
      </c>
      <c r="Q55" s="33">
        <f t="shared" si="12"/>
        <v>50</v>
      </c>
      <c r="R55" s="26">
        <v>31</v>
      </c>
      <c r="S55" s="26">
        <v>25</v>
      </c>
      <c r="T55" s="33">
        <f t="shared" si="13"/>
        <v>56</v>
      </c>
      <c r="U55" s="26">
        <v>25</v>
      </c>
      <c r="V55" s="26">
        <v>27</v>
      </c>
      <c r="W55" s="33">
        <f t="shared" si="14"/>
        <v>52</v>
      </c>
      <c r="X55" s="26"/>
      <c r="Y55" s="26"/>
      <c r="Z55" s="26"/>
      <c r="AA55" s="33">
        <f t="shared" si="15"/>
        <v>364</v>
      </c>
      <c r="AB55" s="26" t="s">
        <v>117</v>
      </c>
      <c r="AC55" s="29"/>
    </row>
    <row r="56" spans="1:29" ht="15.6" x14ac:dyDescent="0.3">
      <c r="A56" s="26">
        <v>31</v>
      </c>
      <c r="B56" s="27" t="s">
        <v>143</v>
      </c>
      <c r="C56" s="26">
        <v>34</v>
      </c>
      <c r="D56" s="26">
        <v>25</v>
      </c>
      <c r="E56" s="33">
        <f t="shared" si="8"/>
        <v>59</v>
      </c>
      <c r="F56" s="26">
        <v>40</v>
      </c>
      <c r="G56" s="26">
        <v>25</v>
      </c>
      <c r="H56" s="33">
        <f t="shared" si="9"/>
        <v>65</v>
      </c>
      <c r="I56" s="26">
        <v>28</v>
      </c>
      <c r="J56" s="26">
        <v>28</v>
      </c>
      <c r="K56" s="33">
        <f t="shared" si="10"/>
        <v>56</v>
      </c>
      <c r="L56" s="26">
        <v>29</v>
      </c>
      <c r="M56" s="26">
        <v>28</v>
      </c>
      <c r="N56" s="33">
        <f t="shared" si="11"/>
        <v>57</v>
      </c>
      <c r="O56" s="26">
        <v>25</v>
      </c>
      <c r="P56" s="26">
        <v>25</v>
      </c>
      <c r="Q56" s="33">
        <f t="shared" si="12"/>
        <v>50</v>
      </c>
      <c r="R56" s="26">
        <v>37</v>
      </c>
      <c r="S56" s="26">
        <v>30</v>
      </c>
      <c r="T56" s="33">
        <f t="shared" si="13"/>
        <v>67</v>
      </c>
      <c r="U56" s="26">
        <v>25</v>
      </c>
      <c r="V56" s="26">
        <v>30</v>
      </c>
      <c r="W56" s="33">
        <f t="shared" si="14"/>
        <v>55</v>
      </c>
      <c r="X56" s="26"/>
      <c r="Y56" s="26"/>
      <c r="Z56" s="26"/>
      <c r="AA56" s="33">
        <f t="shared" si="15"/>
        <v>409</v>
      </c>
      <c r="AB56" s="26" t="s">
        <v>117</v>
      </c>
      <c r="AC56" s="29"/>
    </row>
    <row r="57" spans="1:29" ht="15.6" x14ac:dyDescent="0.3">
      <c r="A57" s="26">
        <v>32</v>
      </c>
      <c r="B57" s="27" t="s">
        <v>610</v>
      </c>
      <c r="C57" s="26">
        <v>25</v>
      </c>
      <c r="D57" s="26">
        <v>25</v>
      </c>
      <c r="E57" s="33">
        <f t="shared" si="8"/>
        <v>50</v>
      </c>
      <c r="F57" s="26">
        <v>25</v>
      </c>
      <c r="G57" s="26">
        <v>36</v>
      </c>
      <c r="H57" s="33">
        <f t="shared" si="9"/>
        <v>61</v>
      </c>
      <c r="I57" s="26">
        <v>30</v>
      </c>
      <c r="J57" s="26">
        <v>25</v>
      </c>
      <c r="K57" s="33">
        <f t="shared" si="10"/>
        <v>55</v>
      </c>
      <c r="L57" s="26">
        <v>39</v>
      </c>
      <c r="M57" s="26">
        <v>34</v>
      </c>
      <c r="N57" s="33">
        <f t="shared" si="11"/>
        <v>73</v>
      </c>
      <c r="O57" s="26">
        <v>20</v>
      </c>
      <c r="P57" s="26">
        <v>30</v>
      </c>
      <c r="Q57" s="33">
        <f t="shared" si="12"/>
        <v>50</v>
      </c>
      <c r="R57" s="26">
        <v>29</v>
      </c>
      <c r="S57" s="26">
        <v>27</v>
      </c>
      <c r="T57" s="33">
        <f t="shared" si="13"/>
        <v>56</v>
      </c>
      <c r="U57" s="26">
        <v>26</v>
      </c>
      <c r="V57" s="26">
        <v>25</v>
      </c>
      <c r="W57" s="33">
        <f t="shared" si="14"/>
        <v>51</v>
      </c>
      <c r="X57" s="26"/>
      <c r="Y57" s="26"/>
      <c r="Z57" s="26"/>
      <c r="AA57" s="33">
        <f t="shared" si="15"/>
        <v>396</v>
      </c>
      <c r="AB57" s="26" t="s">
        <v>117</v>
      </c>
      <c r="AC57" s="29"/>
    </row>
    <row r="58" spans="1:29" ht="15.6" x14ac:dyDescent="0.3">
      <c r="A58" s="26">
        <v>33</v>
      </c>
      <c r="B58" s="27" t="s">
        <v>604</v>
      </c>
      <c r="C58" s="26">
        <v>26</v>
      </c>
      <c r="D58" s="26">
        <v>25</v>
      </c>
      <c r="E58" s="33">
        <f t="shared" si="8"/>
        <v>51</v>
      </c>
      <c r="F58" s="26">
        <v>25</v>
      </c>
      <c r="G58" s="26">
        <v>29</v>
      </c>
      <c r="H58" s="33">
        <f t="shared" si="9"/>
        <v>54</v>
      </c>
      <c r="I58" s="26">
        <v>29</v>
      </c>
      <c r="J58" s="26">
        <v>25</v>
      </c>
      <c r="K58" s="33">
        <f t="shared" si="10"/>
        <v>54</v>
      </c>
      <c r="L58" s="26">
        <v>25</v>
      </c>
      <c r="M58" s="26">
        <v>31</v>
      </c>
      <c r="N58" s="33">
        <f t="shared" si="11"/>
        <v>56</v>
      </c>
      <c r="O58" s="26">
        <v>27</v>
      </c>
      <c r="P58" s="26">
        <v>25</v>
      </c>
      <c r="Q58" s="33">
        <f t="shared" si="12"/>
        <v>52</v>
      </c>
      <c r="R58" s="26">
        <v>32</v>
      </c>
      <c r="S58" s="26">
        <v>33</v>
      </c>
      <c r="T58" s="33">
        <f t="shared" si="13"/>
        <v>65</v>
      </c>
      <c r="U58" s="26">
        <v>26</v>
      </c>
      <c r="V58" s="26">
        <v>27</v>
      </c>
      <c r="W58" s="33">
        <f t="shared" si="14"/>
        <v>53</v>
      </c>
      <c r="X58" s="26"/>
      <c r="Y58" s="26"/>
      <c r="Z58" s="26"/>
      <c r="AA58" s="33">
        <f t="shared" si="15"/>
        <v>385</v>
      </c>
      <c r="AB58" s="26" t="s">
        <v>117</v>
      </c>
      <c r="AC58" s="29"/>
    </row>
    <row r="59" spans="1:29" ht="15.6" x14ac:dyDescent="0.3">
      <c r="A59" s="26">
        <v>34</v>
      </c>
      <c r="B59" s="27" t="s">
        <v>144</v>
      </c>
      <c r="C59" s="26">
        <v>46</v>
      </c>
      <c r="D59" s="26">
        <v>39</v>
      </c>
      <c r="E59" s="33">
        <f t="shared" si="8"/>
        <v>85</v>
      </c>
      <c r="F59" s="26">
        <v>43</v>
      </c>
      <c r="G59" s="26">
        <v>42</v>
      </c>
      <c r="H59" s="33">
        <f t="shared" si="9"/>
        <v>85</v>
      </c>
      <c r="I59" s="26">
        <v>38</v>
      </c>
      <c r="J59" s="26">
        <v>30</v>
      </c>
      <c r="K59" s="33">
        <v>78</v>
      </c>
      <c r="L59" s="26">
        <v>49</v>
      </c>
      <c r="M59" s="26">
        <v>40</v>
      </c>
      <c r="N59" s="33">
        <f t="shared" si="11"/>
        <v>89</v>
      </c>
      <c r="O59" s="26">
        <v>31</v>
      </c>
      <c r="P59" s="26">
        <v>25</v>
      </c>
      <c r="Q59" s="33">
        <f t="shared" si="12"/>
        <v>56</v>
      </c>
      <c r="R59" s="26">
        <v>41</v>
      </c>
      <c r="S59" s="26">
        <v>35</v>
      </c>
      <c r="T59" s="33">
        <f t="shared" si="13"/>
        <v>76</v>
      </c>
      <c r="U59" s="26">
        <v>34</v>
      </c>
      <c r="V59" s="26">
        <v>28</v>
      </c>
      <c r="W59" s="33">
        <f t="shared" si="14"/>
        <v>62</v>
      </c>
      <c r="X59" s="26"/>
      <c r="Y59" s="26"/>
      <c r="Z59" s="26"/>
      <c r="AA59" s="33">
        <f t="shared" si="15"/>
        <v>531</v>
      </c>
      <c r="AB59" s="26" t="s">
        <v>117</v>
      </c>
      <c r="AC59" s="29"/>
    </row>
    <row r="60" spans="1:29" ht="15.6" x14ac:dyDescent="0.3">
      <c r="A60" s="26">
        <v>35</v>
      </c>
      <c r="B60" s="27" t="s">
        <v>566</v>
      </c>
      <c r="C60" s="26">
        <v>28</v>
      </c>
      <c r="D60" s="26">
        <v>25</v>
      </c>
      <c r="E60" s="33">
        <f t="shared" si="8"/>
        <v>53</v>
      </c>
      <c r="F60" s="26">
        <v>38</v>
      </c>
      <c r="G60" s="26">
        <v>25</v>
      </c>
      <c r="H60" s="33">
        <f t="shared" si="9"/>
        <v>63</v>
      </c>
      <c r="I60" s="26">
        <v>25</v>
      </c>
      <c r="J60" s="26">
        <v>25</v>
      </c>
      <c r="K60" s="33">
        <f t="shared" si="10"/>
        <v>50</v>
      </c>
      <c r="L60" s="26">
        <v>42</v>
      </c>
      <c r="M60" s="26">
        <v>34</v>
      </c>
      <c r="N60" s="33">
        <f t="shared" si="11"/>
        <v>76</v>
      </c>
      <c r="O60" s="26">
        <v>28</v>
      </c>
      <c r="P60" s="26">
        <v>25</v>
      </c>
      <c r="Q60" s="33">
        <f t="shared" si="12"/>
        <v>53</v>
      </c>
      <c r="R60" s="26">
        <v>27</v>
      </c>
      <c r="S60" s="26">
        <v>30</v>
      </c>
      <c r="T60" s="33">
        <f t="shared" si="13"/>
        <v>57</v>
      </c>
      <c r="U60" s="26">
        <v>31</v>
      </c>
      <c r="V60" s="26">
        <v>29</v>
      </c>
      <c r="W60" s="33">
        <f t="shared" si="14"/>
        <v>60</v>
      </c>
      <c r="X60" s="26"/>
      <c r="Y60" s="26"/>
      <c r="Z60" s="26"/>
      <c r="AA60" s="33">
        <f t="shared" si="15"/>
        <v>412</v>
      </c>
      <c r="AB60" s="26" t="s">
        <v>117</v>
      </c>
      <c r="AC60" s="29"/>
    </row>
    <row r="61" spans="1:29" ht="15.6" x14ac:dyDescent="0.3">
      <c r="A61" s="26">
        <v>36</v>
      </c>
      <c r="B61" s="27" t="s">
        <v>146</v>
      </c>
      <c r="C61" s="26">
        <v>18</v>
      </c>
      <c r="D61" s="26">
        <v>32</v>
      </c>
      <c r="E61" s="33">
        <f t="shared" ref="E61" si="16">SUM(C61:D61)</f>
        <v>50</v>
      </c>
      <c r="F61" s="26">
        <v>32</v>
      </c>
      <c r="G61" s="26">
        <v>18</v>
      </c>
      <c r="H61" s="33">
        <f t="shared" ref="H61" si="17">SUM(F61:G61)</f>
        <v>50</v>
      </c>
      <c r="I61" s="26">
        <v>30</v>
      </c>
      <c r="J61" s="26">
        <v>20</v>
      </c>
      <c r="K61" s="33">
        <f t="shared" ref="K61" si="18">SUM(I61:J61)</f>
        <v>50</v>
      </c>
      <c r="L61" s="26">
        <v>27</v>
      </c>
      <c r="M61" s="26">
        <v>23</v>
      </c>
      <c r="N61" s="33">
        <f t="shared" ref="N61" si="19">SUM(L61:M61)</f>
        <v>50</v>
      </c>
      <c r="O61" s="26">
        <v>25</v>
      </c>
      <c r="P61" s="26">
        <v>27</v>
      </c>
      <c r="Q61" s="33">
        <f t="shared" ref="Q61" si="20">SUM(O61:P61)</f>
        <v>52</v>
      </c>
      <c r="R61" s="26">
        <v>23</v>
      </c>
      <c r="S61" s="26">
        <v>27</v>
      </c>
      <c r="T61" s="33">
        <f t="shared" ref="T61" si="21">SUM(R61:S61)</f>
        <v>50</v>
      </c>
      <c r="U61" s="26">
        <v>30</v>
      </c>
      <c r="V61" s="26">
        <v>25</v>
      </c>
      <c r="W61" s="33">
        <f t="shared" ref="W61" si="22">SUM(U61:V61)</f>
        <v>55</v>
      </c>
      <c r="X61" s="26"/>
      <c r="Y61" s="26"/>
      <c r="Z61" s="26"/>
      <c r="AA61" s="33">
        <f t="shared" ref="AA61" si="23">SUM(W61,T61,Q61,N61,K61,H61,E61)</f>
        <v>357</v>
      </c>
      <c r="AB61" s="26" t="s">
        <v>117</v>
      </c>
      <c r="AC61" s="29"/>
    </row>
    <row r="62" spans="1:29" ht="15.6" x14ac:dyDescent="0.3">
      <c r="A62" s="26">
        <v>37</v>
      </c>
      <c r="B62" s="27" t="s">
        <v>145</v>
      </c>
      <c r="C62" s="26">
        <v>25</v>
      </c>
      <c r="D62" s="26">
        <v>34</v>
      </c>
      <c r="E62" s="33">
        <f t="shared" si="8"/>
        <v>59</v>
      </c>
      <c r="F62" s="26">
        <v>32</v>
      </c>
      <c r="G62" s="26">
        <v>30</v>
      </c>
      <c r="H62" s="33">
        <f t="shared" si="9"/>
        <v>62</v>
      </c>
      <c r="I62" s="26">
        <v>31</v>
      </c>
      <c r="J62" s="26">
        <v>26</v>
      </c>
      <c r="K62" s="33">
        <f t="shared" si="10"/>
        <v>57</v>
      </c>
      <c r="L62" s="26">
        <v>30</v>
      </c>
      <c r="M62" s="26">
        <v>34</v>
      </c>
      <c r="N62" s="33">
        <f t="shared" si="11"/>
        <v>64</v>
      </c>
      <c r="O62" s="26">
        <v>25</v>
      </c>
      <c r="P62" s="26">
        <v>25</v>
      </c>
      <c r="Q62" s="33">
        <f t="shared" si="12"/>
        <v>50</v>
      </c>
      <c r="R62" s="26">
        <v>38</v>
      </c>
      <c r="S62" s="26">
        <v>30</v>
      </c>
      <c r="T62" s="33">
        <f t="shared" si="13"/>
        <v>68</v>
      </c>
      <c r="U62" s="26">
        <v>25</v>
      </c>
      <c r="V62" s="26">
        <v>27</v>
      </c>
      <c r="W62" s="33">
        <f t="shared" si="14"/>
        <v>52</v>
      </c>
      <c r="X62" s="26"/>
      <c r="Y62" s="26"/>
      <c r="Z62" s="26"/>
      <c r="AA62" s="33">
        <f t="shared" si="15"/>
        <v>412</v>
      </c>
      <c r="AB62" s="26" t="s">
        <v>117</v>
      </c>
      <c r="AC62" s="29"/>
    </row>
    <row r="63" spans="1:29" ht="15.6" x14ac:dyDescent="0.3">
      <c r="A63" s="26">
        <v>38</v>
      </c>
      <c r="B63" s="29" t="s">
        <v>147</v>
      </c>
      <c r="C63" s="26">
        <v>32</v>
      </c>
      <c r="D63" s="26">
        <v>30</v>
      </c>
      <c r="E63" s="33">
        <f t="shared" si="8"/>
        <v>62</v>
      </c>
      <c r="F63" s="26">
        <v>38</v>
      </c>
      <c r="G63" s="26">
        <v>36</v>
      </c>
      <c r="H63" s="33">
        <f t="shared" si="9"/>
        <v>74</v>
      </c>
      <c r="I63" s="26">
        <v>29</v>
      </c>
      <c r="J63" s="26">
        <v>27</v>
      </c>
      <c r="K63" s="33">
        <f t="shared" si="10"/>
        <v>56</v>
      </c>
      <c r="L63" s="26">
        <v>25</v>
      </c>
      <c r="M63" s="26">
        <v>31</v>
      </c>
      <c r="N63" s="33">
        <f t="shared" si="11"/>
        <v>56</v>
      </c>
      <c r="O63" s="26">
        <v>25</v>
      </c>
      <c r="P63" s="26">
        <v>27</v>
      </c>
      <c r="Q63" s="33">
        <f t="shared" si="12"/>
        <v>52</v>
      </c>
      <c r="R63" s="26">
        <v>26</v>
      </c>
      <c r="S63" s="26">
        <v>33</v>
      </c>
      <c r="T63" s="33">
        <f t="shared" si="13"/>
        <v>59</v>
      </c>
      <c r="U63" s="26">
        <v>25</v>
      </c>
      <c r="V63" s="26">
        <v>25</v>
      </c>
      <c r="W63" s="33">
        <f t="shared" si="14"/>
        <v>50</v>
      </c>
      <c r="X63" s="26"/>
      <c r="Y63" s="26"/>
      <c r="Z63" s="26"/>
      <c r="AA63" s="33">
        <f t="shared" si="15"/>
        <v>409</v>
      </c>
      <c r="AB63" s="26" t="s">
        <v>117</v>
      </c>
      <c r="AC63" s="29"/>
    </row>
    <row r="64" spans="1:29" ht="15.6" x14ac:dyDescent="0.3">
      <c r="A64" s="26">
        <v>39</v>
      </c>
      <c r="B64" s="29" t="s">
        <v>148</v>
      </c>
      <c r="C64" s="26">
        <v>28</v>
      </c>
      <c r="D64" s="26">
        <v>25</v>
      </c>
      <c r="E64" s="33">
        <f t="shared" si="8"/>
        <v>53</v>
      </c>
      <c r="F64" s="26">
        <v>25</v>
      </c>
      <c r="G64" s="26">
        <v>25</v>
      </c>
      <c r="H64" s="33">
        <f t="shared" si="9"/>
        <v>50</v>
      </c>
      <c r="I64" s="26">
        <v>32</v>
      </c>
      <c r="J64" s="26">
        <v>25</v>
      </c>
      <c r="K64" s="33">
        <f t="shared" si="10"/>
        <v>57</v>
      </c>
      <c r="L64" s="26">
        <v>29</v>
      </c>
      <c r="M64" s="26">
        <v>31</v>
      </c>
      <c r="N64" s="33">
        <f t="shared" si="11"/>
        <v>60</v>
      </c>
      <c r="O64" s="26">
        <v>25</v>
      </c>
      <c r="P64" s="26">
        <v>28</v>
      </c>
      <c r="Q64" s="33">
        <f t="shared" si="12"/>
        <v>53</v>
      </c>
      <c r="R64" s="26">
        <v>26</v>
      </c>
      <c r="S64" s="26">
        <v>25</v>
      </c>
      <c r="T64" s="33">
        <f t="shared" si="13"/>
        <v>51</v>
      </c>
      <c r="U64" s="26">
        <v>26</v>
      </c>
      <c r="V64" s="26">
        <v>27</v>
      </c>
      <c r="W64" s="33">
        <f t="shared" si="14"/>
        <v>53</v>
      </c>
      <c r="X64" s="26"/>
      <c r="Y64" s="26"/>
      <c r="Z64" s="26"/>
      <c r="AA64" s="33">
        <f t="shared" si="15"/>
        <v>377</v>
      </c>
      <c r="AB64" s="26" t="s">
        <v>117</v>
      </c>
      <c r="AC64" s="29"/>
    </row>
    <row r="65" spans="1:29" ht="15.6" x14ac:dyDescent="0.3">
      <c r="A65" s="26">
        <v>40</v>
      </c>
      <c r="B65" s="29" t="s">
        <v>149</v>
      </c>
      <c r="C65" s="26">
        <v>25</v>
      </c>
      <c r="D65" s="26">
        <v>27</v>
      </c>
      <c r="E65" s="33">
        <f t="shared" si="8"/>
        <v>52</v>
      </c>
      <c r="F65" s="26">
        <v>25</v>
      </c>
      <c r="G65" s="26">
        <v>34</v>
      </c>
      <c r="H65" s="33">
        <f t="shared" si="9"/>
        <v>59</v>
      </c>
      <c r="I65" s="26">
        <v>30</v>
      </c>
      <c r="J65" s="26">
        <v>26</v>
      </c>
      <c r="K65" s="33">
        <f t="shared" si="10"/>
        <v>56</v>
      </c>
      <c r="L65" s="26">
        <v>34</v>
      </c>
      <c r="M65" s="26">
        <v>32</v>
      </c>
      <c r="N65" s="33">
        <f t="shared" si="11"/>
        <v>66</v>
      </c>
      <c r="O65" s="26">
        <v>31</v>
      </c>
      <c r="P65" s="26">
        <v>33</v>
      </c>
      <c r="Q65" s="33">
        <f t="shared" si="12"/>
        <v>64</v>
      </c>
      <c r="R65" s="26">
        <v>30</v>
      </c>
      <c r="S65" s="26">
        <v>25</v>
      </c>
      <c r="T65" s="33">
        <f t="shared" si="13"/>
        <v>55</v>
      </c>
      <c r="U65" s="26">
        <v>28</v>
      </c>
      <c r="V65" s="26">
        <v>29</v>
      </c>
      <c r="W65" s="33">
        <f t="shared" si="14"/>
        <v>57</v>
      </c>
      <c r="X65" s="26"/>
      <c r="Y65" s="26"/>
      <c r="Z65" s="26"/>
      <c r="AA65" s="33">
        <f t="shared" si="15"/>
        <v>409</v>
      </c>
      <c r="AB65" s="26" t="s">
        <v>117</v>
      </c>
      <c r="AC65" s="29"/>
    </row>
    <row r="66" spans="1:29" x14ac:dyDescent="0.25">
      <c r="A66" s="3" t="s">
        <v>567</v>
      </c>
      <c r="B66" s="11"/>
      <c r="C66" s="8"/>
      <c r="D66" s="8"/>
      <c r="E66" s="8"/>
      <c r="F66" s="3"/>
      <c r="G66" s="3" t="s">
        <v>468</v>
      </c>
      <c r="H66" s="3"/>
      <c r="I66" s="3"/>
      <c r="J66" s="3"/>
      <c r="K66" s="3"/>
      <c r="L66" s="3"/>
      <c r="M66" s="3"/>
      <c r="N66" s="3"/>
      <c r="O66" s="3" t="s">
        <v>82</v>
      </c>
      <c r="P66" s="3"/>
      <c r="Q66" s="3"/>
      <c r="R66" s="3"/>
      <c r="S66" s="3"/>
      <c r="T66" s="3"/>
      <c r="U66" s="3" t="s">
        <v>83</v>
      </c>
      <c r="V66" s="3"/>
      <c r="W66" s="3"/>
      <c r="X66" s="3"/>
      <c r="Y66" s="3"/>
      <c r="Z66" s="3"/>
      <c r="AA66" s="7"/>
      <c r="AB66" s="10"/>
      <c r="AC66" s="3"/>
    </row>
    <row r="67" spans="1:29" x14ac:dyDescent="0.25">
      <c r="A67" s="22" t="s">
        <v>89</v>
      </c>
      <c r="B67" s="22"/>
      <c r="C67" s="22"/>
      <c r="D67" s="22"/>
      <c r="E67" s="22"/>
      <c r="F67" s="22" t="s">
        <v>90</v>
      </c>
      <c r="G67" s="22"/>
      <c r="H67" s="22"/>
      <c r="I67" s="22"/>
      <c r="J67" s="22"/>
      <c r="K67" s="22"/>
      <c r="L67" s="22"/>
      <c r="M67" s="22"/>
      <c r="N67" s="22" t="s">
        <v>462</v>
      </c>
      <c r="O67" s="22"/>
      <c r="P67" s="22"/>
      <c r="Q67" s="22"/>
      <c r="R67" s="22"/>
      <c r="S67" s="22"/>
      <c r="T67" s="22" t="s">
        <v>463</v>
      </c>
      <c r="U67" s="22"/>
      <c r="V67" s="22"/>
      <c r="W67" s="22"/>
      <c r="X67" s="22"/>
      <c r="Y67" s="22"/>
      <c r="Z67" s="3"/>
      <c r="AA67" s="3"/>
      <c r="AB67" s="3" t="s">
        <v>85</v>
      </c>
      <c r="AC67" s="3"/>
    </row>
    <row r="68" spans="1:29" x14ac:dyDescent="0.25">
      <c r="A68" s="22" t="s">
        <v>466</v>
      </c>
      <c r="B68" s="22"/>
      <c r="C68" s="22"/>
      <c r="D68" s="22"/>
      <c r="E68" s="22"/>
      <c r="F68" s="22" t="s">
        <v>91</v>
      </c>
      <c r="G68" s="22"/>
      <c r="H68" s="22"/>
      <c r="I68" s="22"/>
      <c r="J68" s="22"/>
      <c r="K68" s="22"/>
      <c r="L68" s="22"/>
      <c r="M68" s="22"/>
      <c r="N68" s="22" t="s">
        <v>94</v>
      </c>
      <c r="O68" s="22"/>
      <c r="P68" s="22"/>
      <c r="Q68" s="22"/>
      <c r="R68" s="22"/>
      <c r="S68" s="22"/>
      <c r="T68" s="22" t="s">
        <v>97</v>
      </c>
      <c r="U68" s="22"/>
      <c r="V68" s="22"/>
      <c r="W68" s="22"/>
      <c r="X68" s="22"/>
      <c r="Y68" s="22"/>
      <c r="Z68" s="3"/>
      <c r="AA68" s="3"/>
      <c r="AB68" s="3" t="s">
        <v>99</v>
      </c>
      <c r="AC68" s="3"/>
    </row>
    <row r="69" spans="1:29" x14ac:dyDescent="0.25">
      <c r="A69" s="22" t="s">
        <v>89</v>
      </c>
      <c r="B69" s="22"/>
      <c r="C69" s="22"/>
      <c r="D69" s="22"/>
      <c r="E69" s="22"/>
      <c r="F69" s="22" t="s">
        <v>92</v>
      </c>
      <c r="G69" s="22"/>
      <c r="H69" s="22"/>
      <c r="I69" s="22"/>
      <c r="J69" s="22"/>
      <c r="K69" s="22"/>
      <c r="L69" s="22"/>
      <c r="M69" s="22"/>
      <c r="N69" s="22" t="s">
        <v>95</v>
      </c>
      <c r="O69" s="22"/>
      <c r="P69" s="22"/>
      <c r="Q69" s="22"/>
      <c r="R69" s="22"/>
      <c r="S69" s="22"/>
      <c r="T69" s="22" t="s">
        <v>98</v>
      </c>
      <c r="U69" s="22"/>
      <c r="V69" s="22"/>
      <c r="W69" s="22"/>
      <c r="X69" s="22"/>
      <c r="Y69" s="22"/>
      <c r="Z69" s="3"/>
      <c r="AA69" s="3"/>
      <c r="AB69" s="3"/>
      <c r="AC69" s="3"/>
    </row>
    <row r="73" spans="1:29" ht="15.6" x14ac:dyDescent="0.3">
      <c r="B73" s="15" t="s">
        <v>494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 t="s">
        <v>467</v>
      </c>
      <c r="N73" s="6"/>
      <c r="O73" s="6"/>
      <c r="P73" s="6"/>
      <c r="Q73" s="6"/>
      <c r="R73" s="6"/>
      <c r="S73" s="6"/>
      <c r="T73" s="6"/>
      <c r="U73" s="6"/>
      <c r="V73" s="6"/>
      <c r="W73" s="5"/>
      <c r="X73" s="6"/>
      <c r="Y73" s="6"/>
      <c r="Z73" s="6"/>
      <c r="AA73" s="5"/>
      <c r="AB73" s="5" t="s">
        <v>456</v>
      </c>
      <c r="AC73" s="6"/>
    </row>
    <row r="74" spans="1:29" ht="15.6" x14ac:dyDescent="0.3">
      <c r="B74" s="15" t="s">
        <v>81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5"/>
      <c r="X74" s="6"/>
      <c r="Y74" s="6"/>
      <c r="Z74" s="6"/>
      <c r="AA74" s="5"/>
      <c r="AB74" s="5" t="s">
        <v>100</v>
      </c>
      <c r="AC74" s="5"/>
    </row>
    <row r="75" spans="1:29" ht="15.6" x14ac:dyDescent="0.3">
      <c r="B75" s="15" t="s">
        <v>459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5"/>
      <c r="X75" s="6"/>
      <c r="Y75" s="6"/>
      <c r="Z75" s="6"/>
      <c r="AA75" s="5"/>
      <c r="AB75" s="5" t="s">
        <v>158</v>
      </c>
      <c r="AC75" s="5"/>
    </row>
    <row r="76" spans="1:29" ht="15.6" x14ac:dyDescent="0.3">
      <c r="B76" s="15" t="s">
        <v>460</v>
      </c>
      <c r="C76" s="6"/>
      <c r="D76" s="6"/>
      <c r="E76" s="6"/>
      <c r="F76" s="6"/>
      <c r="G76" s="6"/>
      <c r="H76" s="6"/>
      <c r="I76" s="6"/>
      <c r="J76" s="6"/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5"/>
      <c r="X76" s="6"/>
      <c r="Y76" s="6"/>
      <c r="Z76" s="6"/>
      <c r="AA76" s="5"/>
      <c r="AB76" s="5" t="s">
        <v>103</v>
      </c>
      <c r="AC76" s="5"/>
    </row>
    <row r="77" spans="1:29" ht="15.6" x14ac:dyDescent="0.3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5"/>
      <c r="X77" s="6"/>
      <c r="Y77" s="6"/>
      <c r="Z77" s="6"/>
      <c r="AA77" s="5"/>
      <c r="AB77" s="5" t="s">
        <v>159</v>
      </c>
      <c r="AC77" s="5"/>
    </row>
    <row r="78" spans="1:29" ht="15.6" x14ac:dyDescent="0.3">
      <c r="B78" s="6"/>
      <c r="C78" s="5" t="s">
        <v>482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5"/>
      <c r="X78" s="6"/>
      <c r="Y78" s="6"/>
      <c r="Z78" s="6"/>
      <c r="AA78" s="5"/>
      <c r="AB78" s="5"/>
      <c r="AC78" s="5"/>
    </row>
    <row r="79" spans="1:29" ht="15.6" x14ac:dyDescent="0.3">
      <c r="A79" s="57" t="s">
        <v>0</v>
      </c>
      <c r="B79" s="66" t="s">
        <v>469</v>
      </c>
      <c r="C79" s="60" t="s">
        <v>458</v>
      </c>
      <c r="D79" s="61"/>
      <c r="E79" s="62"/>
      <c r="F79" s="60" t="s">
        <v>1</v>
      </c>
      <c r="G79" s="61"/>
      <c r="H79" s="62"/>
      <c r="I79" s="60" t="s">
        <v>2</v>
      </c>
      <c r="J79" s="61"/>
      <c r="K79" s="62"/>
      <c r="L79" s="60" t="s">
        <v>8</v>
      </c>
      <c r="M79" s="61"/>
      <c r="N79" s="62"/>
      <c r="O79" s="60" t="s">
        <v>3</v>
      </c>
      <c r="P79" s="61"/>
      <c r="Q79" s="62"/>
      <c r="R79" s="31"/>
      <c r="S79" s="31" t="s">
        <v>4</v>
      </c>
      <c r="T79" s="31"/>
      <c r="U79" s="60" t="s">
        <v>5</v>
      </c>
      <c r="V79" s="61"/>
      <c r="W79" s="62"/>
      <c r="X79" s="57" t="s">
        <v>16</v>
      </c>
      <c r="Y79" s="57" t="s">
        <v>17</v>
      </c>
      <c r="Z79" s="57" t="s">
        <v>18</v>
      </c>
      <c r="AA79" s="57" t="s">
        <v>19</v>
      </c>
      <c r="AB79" s="57" t="s">
        <v>20</v>
      </c>
      <c r="AC79" s="57" t="s">
        <v>21</v>
      </c>
    </row>
    <row r="80" spans="1:29" ht="55.2" x14ac:dyDescent="0.25">
      <c r="A80" s="58"/>
      <c r="B80" s="67"/>
      <c r="C80" s="32" t="s">
        <v>6</v>
      </c>
      <c r="D80" s="32" t="s">
        <v>461</v>
      </c>
      <c r="E80" s="32" t="s">
        <v>7</v>
      </c>
      <c r="F80" s="32" t="s">
        <v>6</v>
      </c>
      <c r="G80" s="32" t="s">
        <v>461</v>
      </c>
      <c r="H80" s="32" t="s">
        <v>7</v>
      </c>
      <c r="I80" s="32" t="s">
        <v>6</v>
      </c>
      <c r="J80" s="32" t="s">
        <v>461</v>
      </c>
      <c r="K80" s="32" t="s">
        <v>7</v>
      </c>
      <c r="L80" s="32" t="s">
        <v>6</v>
      </c>
      <c r="M80" s="32" t="s">
        <v>461</v>
      </c>
      <c r="N80" s="32" t="s">
        <v>7</v>
      </c>
      <c r="O80" s="32" t="s">
        <v>6</v>
      </c>
      <c r="P80" s="32" t="s">
        <v>461</v>
      </c>
      <c r="Q80" s="32" t="s">
        <v>7</v>
      </c>
      <c r="R80" s="32" t="s">
        <v>6</v>
      </c>
      <c r="S80" s="32" t="s">
        <v>461</v>
      </c>
      <c r="T80" s="32" t="s">
        <v>7</v>
      </c>
      <c r="U80" s="32" t="s">
        <v>6</v>
      </c>
      <c r="V80" s="32" t="s">
        <v>461</v>
      </c>
      <c r="W80" s="32" t="s">
        <v>7</v>
      </c>
      <c r="X80" s="58"/>
      <c r="Y80" s="58"/>
      <c r="Z80" s="58"/>
      <c r="AA80" s="58"/>
      <c r="AB80" s="58"/>
      <c r="AC80" s="58"/>
    </row>
    <row r="81" spans="1:29" ht="15.6" x14ac:dyDescent="0.3">
      <c r="A81" s="59"/>
      <c r="B81" s="68"/>
      <c r="C81" s="33">
        <v>50</v>
      </c>
      <c r="D81" s="33">
        <v>50</v>
      </c>
      <c r="E81" s="33">
        <v>100</v>
      </c>
      <c r="F81" s="33">
        <v>50</v>
      </c>
      <c r="G81" s="33">
        <v>50</v>
      </c>
      <c r="H81" s="33">
        <v>100</v>
      </c>
      <c r="I81" s="33">
        <v>50</v>
      </c>
      <c r="J81" s="33">
        <v>50</v>
      </c>
      <c r="K81" s="33">
        <v>100</v>
      </c>
      <c r="L81" s="33">
        <v>50</v>
      </c>
      <c r="M81" s="33">
        <v>50</v>
      </c>
      <c r="N81" s="33">
        <v>100</v>
      </c>
      <c r="O81" s="33">
        <v>50</v>
      </c>
      <c r="P81" s="33">
        <v>50</v>
      </c>
      <c r="Q81" s="33">
        <v>100</v>
      </c>
      <c r="R81" s="33">
        <v>50</v>
      </c>
      <c r="S81" s="33">
        <v>50</v>
      </c>
      <c r="T81" s="33">
        <v>100</v>
      </c>
      <c r="U81" s="33">
        <v>50</v>
      </c>
      <c r="V81" s="33">
        <v>50</v>
      </c>
      <c r="W81" s="33">
        <v>100</v>
      </c>
      <c r="X81" s="59"/>
      <c r="Y81" s="59"/>
      <c r="Z81" s="59"/>
      <c r="AA81" s="59"/>
      <c r="AB81" s="59"/>
      <c r="AC81" s="59"/>
    </row>
    <row r="82" spans="1:29" ht="15.6" x14ac:dyDescent="0.3">
      <c r="A82" s="26">
        <v>41</v>
      </c>
      <c r="B82" s="29" t="s">
        <v>150</v>
      </c>
      <c r="C82" s="26">
        <v>36</v>
      </c>
      <c r="D82" s="26">
        <v>25</v>
      </c>
      <c r="E82" s="33">
        <f t="shared" ref="E82:E92" si="24">SUM(C82:D82)</f>
        <v>61</v>
      </c>
      <c r="F82" s="26">
        <v>30</v>
      </c>
      <c r="G82" s="26">
        <v>25</v>
      </c>
      <c r="H82" s="33">
        <f t="shared" ref="H82:H92" si="25">SUM(F82:G82)</f>
        <v>55</v>
      </c>
      <c r="I82" s="26">
        <v>27</v>
      </c>
      <c r="J82" s="26">
        <v>32</v>
      </c>
      <c r="K82" s="33">
        <f t="shared" ref="K82:K92" si="26">SUM(I82:J82)</f>
        <v>59</v>
      </c>
      <c r="L82" s="26">
        <v>39</v>
      </c>
      <c r="M82" s="26">
        <v>27</v>
      </c>
      <c r="N82" s="33">
        <f t="shared" ref="N82:N92" si="27">SUM(L82:M82)</f>
        <v>66</v>
      </c>
      <c r="O82" s="26">
        <v>32</v>
      </c>
      <c r="P82" s="26">
        <v>30</v>
      </c>
      <c r="Q82" s="33">
        <f t="shared" ref="Q82:Q92" si="28">SUM(O82:P82)</f>
        <v>62</v>
      </c>
      <c r="R82" s="26">
        <v>25</v>
      </c>
      <c r="S82" s="26">
        <v>26</v>
      </c>
      <c r="T82" s="33">
        <f t="shared" ref="T82:T92" si="29">SUM(R82:S82)</f>
        <v>51</v>
      </c>
      <c r="U82" s="26">
        <v>31</v>
      </c>
      <c r="V82" s="26">
        <v>25</v>
      </c>
      <c r="W82" s="33">
        <f t="shared" ref="W82:W92" si="30">SUM(U82:V82)</f>
        <v>56</v>
      </c>
      <c r="X82" s="26"/>
      <c r="Y82" s="26"/>
      <c r="Z82" s="26"/>
      <c r="AA82" s="33">
        <f t="shared" ref="AA82:AA92" si="31">SUM(W82,T82,Q82,N82,K82,H82,E82)</f>
        <v>410</v>
      </c>
      <c r="AB82" s="26" t="s">
        <v>117</v>
      </c>
      <c r="AC82" s="29"/>
    </row>
    <row r="83" spans="1:29" ht="15.6" x14ac:dyDescent="0.3">
      <c r="A83" s="26">
        <v>42</v>
      </c>
      <c r="B83" s="29" t="s">
        <v>151</v>
      </c>
      <c r="C83" s="26">
        <v>38</v>
      </c>
      <c r="D83" s="26">
        <v>25</v>
      </c>
      <c r="E83" s="33">
        <f t="shared" si="24"/>
        <v>63</v>
      </c>
      <c r="F83" s="26">
        <v>25</v>
      </c>
      <c r="G83" s="26">
        <v>25</v>
      </c>
      <c r="H83" s="33">
        <f t="shared" si="25"/>
        <v>50</v>
      </c>
      <c r="I83" s="26">
        <v>25</v>
      </c>
      <c r="J83" s="26">
        <v>25</v>
      </c>
      <c r="K83" s="33">
        <f t="shared" si="26"/>
        <v>50</v>
      </c>
      <c r="L83" s="26">
        <v>25</v>
      </c>
      <c r="M83" s="26">
        <v>25</v>
      </c>
      <c r="N83" s="33">
        <f t="shared" si="27"/>
        <v>50</v>
      </c>
      <c r="O83" s="26">
        <v>28</v>
      </c>
      <c r="P83" s="26">
        <v>32</v>
      </c>
      <c r="Q83" s="33">
        <f t="shared" si="28"/>
        <v>60</v>
      </c>
      <c r="R83" s="26">
        <v>25</v>
      </c>
      <c r="S83" s="26">
        <v>25</v>
      </c>
      <c r="T83" s="33">
        <f t="shared" si="29"/>
        <v>50</v>
      </c>
      <c r="U83" s="26">
        <v>25</v>
      </c>
      <c r="V83" s="26">
        <v>25</v>
      </c>
      <c r="W83" s="33">
        <f t="shared" si="30"/>
        <v>50</v>
      </c>
      <c r="X83" s="26"/>
      <c r="Y83" s="26"/>
      <c r="Z83" s="26"/>
      <c r="AA83" s="33">
        <f t="shared" si="31"/>
        <v>373</v>
      </c>
      <c r="AB83" s="26" t="s">
        <v>117</v>
      </c>
      <c r="AC83" s="29"/>
    </row>
    <row r="84" spans="1:29" ht="15.6" x14ac:dyDescent="0.3">
      <c r="A84" s="26">
        <v>43</v>
      </c>
      <c r="B84" s="29" t="s">
        <v>152</v>
      </c>
      <c r="C84" s="26">
        <v>26</v>
      </c>
      <c r="D84" s="26">
        <v>25</v>
      </c>
      <c r="E84" s="33">
        <f t="shared" si="24"/>
        <v>51</v>
      </c>
      <c r="F84" s="26">
        <v>31</v>
      </c>
      <c r="G84" s="26">
        <v>19</v>
      </c>
      <c r="H84" s="33">
        <f t="shared" si="25"/>
        <v>50</v>
      </c>
      <c r="I84" s="26">
        <v>25</v>
      </c>
      <c r="J84" s="26">
        <v>25</v>
      </c>
      <c r="K84" s="33">
        <f t="shared" si="26"/>
        <v>50</v>
      </c>
      <c r="L84" s="26">
        <v>25</v>
      </c>
      <c r="M84" s="26">
        <v>28</v>
      </c>
      <c r="N84" s="33">
        <f t="shared" si="27"/>
        <v>53</v>
      </c>
      <c r="O84" s="26">
        <v>27</v>
      </c>
      <c r="P84" s="26">
        <v>25</v>
      </c>
      <c r="Q84" s="33">
        <f t="shared" si="28"/>
        <v>52</v>
      </c>
      <c r="R84" s="26">
        <v>25</v>
      </c>
      <c r="S84" s="26">
        <v>28</v>
      </c>
      <c r="T84" s="33">
        <f t="shared" si="29"/>
        <v>53</v>
      </c>
      <c r="U84" s="26">
        <v>25</v>
      </c>
      <c r="V84" s="26">
        <v>25</v>
      </c>
      <c r="W84" s="33">
        <f t="shared" si="30"/>
        <v>50</v>
      </c>
      <c r="X84" s="26"/>
      <c r="Y84" s="26"/>
      <c r="Z84" s="26"/>
      <c r="AA84" s="33">
        <f t="shared" si="31"/>
        <v>359</v>
      </c>
      <c r="AB84" s="26" t="s">
        <v>117</v>
      </c>
      <c r="AC84" s="29"/>
    </row>
    <row r="85" spans="1:29" ht="15.6" x14ac:dyDescent="0.3">
      <c r="A85" s="26">
        <v>44</v>
      </c>
      <c r="B85" s="29" t="s">
        <v>611</v>
      </c>
      <c r="C85" s="26">
        <v>25</v>
      </c>
      <c r="D85" s="26">
        <v>26</v>
      </c>
      <c r="E85" s="33">
        <f t="shared" si="24"/>
        <v>51</v>
      </c>
      <c r="F85" s="26">
        <v>25</v>
      </c>
      <c r="G85" s="26">
        <v>25</v>
      </c>
      <c r="H85" s="33">
        <f t="shared" si="25"/>
        <v>50</v>
      </c>
      <c r="I85" s="26">
        <v>25</v>
      </c>
      <c r="J85" s="26">
        <v>26</v>
      </c>
      <c r="K85" s="33">
        <f t="shared" si="26"/>
        <v>51</v>
      </c>
      <c r="L85" s="26">
        <v>33</v>
      </c>
      <c r="M85" s="26">
        <v>25</v>
      </c>
      <c r="N85" s="33">
        <f t="shared" si="27"/>
        <v>58</v>
      </c>
      <c r="O85" s="26">
        <v>25</v>
      </c>
      <c r="P85" s="26">
        <v>25</v>
      </c>
      <c r="Q85" s="33">
        <f t="shared" si="28"/>
        <v>50</v>
      </c>
      <c r="R85" s="26">
        <v>27</v>
      </c>
      <c r="S85" s="26">
        <v>25</v>
      </c>
      <c r="T85" s="33">
        <f t="shared" si="29"/>
        <v>52</v>
      </c>
      <c r="U85" s="26">
        <v>25</v>
      </c>
      <c r="V85" s="26">
        <v>25</v>
      </c>
      <c r="W85" s="33">
        <f t="shared" si="30"/>
        <v>50</v>
      </c>
      <c r="X85" s="26"/>
      <c r="Y85" s="26"/>
      <c r="Z85" s="26"/>
      <c r="AA85" s="33">
        <f t="shared" si="31"/>
        <v>362</v>
      </c>
      <c r="AB85" s="26" t="s">
        <v>117</v>
      </c>
      <c r="AC85" s="29"/>
    </row>
    <row r="86" spans="1:29" ht="15.6" x14ac:dyDescent="0.3">
      <c r="A86" s="26">
        <v>45</v>
      </c>
      <c r="B86" s="29" t="s">
        <v>612</v>
      </c>
      <c r="C86" s="26">
        <v>25</v>
      </c>
      <c r="D86" s="26">
        <v>25</v>
      </c>
      <c r="E86" s="33">
        <f t="shared" si="24"/>
        <v>50</v>
      </c>
      <c r="F86" s="26">
        <v>25</v>
      </c>
      <c r="G86" s="26">
        <v>25</v>
      </c>
      <c r="H86" s="33">
        <f t="shared" si="25"/>
        <v>50</v>
      </c>
      <c r="I86" s="26">
        <v>27</v>
      </c>
      <c r="J86" s="26">
        <v>25</v>
      </c>
      <c r="K86" s="33">
        <f t="shared" si="26"/>
        <v>52</v>
      </c>
      <c r="L86" s="26">
        <v>27</v>
      </c>
      <c r="M86" s="26">
        <v>29</v>
      </c>
      <c r="N86" s="33">
        <f t="shared" si="27"/>
        <v>56</v>
      </c>
      <c r="O86" s="26">
        <v>29</v>
      </c>
      <c r="P86" s="26">
        <v>27</v>
      </c>
      <c r="Q86" s="33">
        <f t="shared" si="28"/>
        <v>56</v>
      </c>
      <c r="R86" s="26">
        <v>25</v>
      </c>
      <c r="S86" s="26">
        <v>25</v>
      </c>
      <c r="T86" s="33">
        <f t="shared" si="29"/>
        <v>50</v>
      </c>
      <c r="U86" s="26">
        <v>26</v>
      </c>
      <c r="V86" s="26">
        <v>25</v>
      </c>
      <c r="W86" s="33">
        <f t="shared" si="30"/>
        <v>51</v>
      </c>
      <c r="X86" s="26"/>
      <c r="Y86" s="26"/>
      <c r="Z86" s="26"/>
      <c r="AA86" s="33">
        <f t="shared" si="31"/>
        <v>365</v>
      </c>
      <c r="AB86" s="26" t="s">
        <v>117</v>
      </c>
      <c r="AC86" s="29"/>
    </row>
    <row r="87" spans="1:29" ht="15.6" x14ac:dyDescent="0.3">
      <c r="A87" s="26">
        <v>46</v>
      </c>
      <c r="B87" s="29" t="s">
        <v>153</v>
      </c>
      <c r="C87" s="26">
        <v>27</v>
      </c>
      <c r="D87" s="26">
        <v>29</v>
      </c>
      <c r="E87" s="33">
        <f t="shared" si="24"/>
        <v>56</v>
      </c>
      <c r="F87" s="26">
        <v>45</v>
      </c>
      <c r="G87" s="26">
        <v>34</v>
      </c>
      <c r="H87" s="33">
        <f t="shared" si="25"/>
        <v>79</v>
      </c>
      <c r="I87" s="26">
        <v>25</v>
      </c>
      <c r="J87" s="26">
        <v>31</v>
      </c>
      <c r="K87" s="33">
        <f t="shared" si="26"/>
        <v>56</v>
      </c>
      <c r="L87" s="26">
        <v>34</v>
      </c>
      <c r="M87" s="26">
        <v>36</v>
      </c>
      <c r="N87" s="33">
        <f t="shared" si="27"/>
        <v>70</v>
      </c>
      <c r="O87" s="26">
        <v>38</v>
      </c>
      <c r="P87" s="26">
        <v>33</v>
      </c>
      <c r="Q87" s="33">
        <f t="shared" si="28"/>
        <v>71</v>
      </c>
      <c r="R87" s="26">
        <v>27</v>
      </c>
      <c r="S87" s="26">
        <v>35</v>
      </c>
      <c r="T87" s="33">
        <f t="shared" si="29"/>
        <v>62</v>
      </c>
      <c r="U87" s="26">
        <v>25</v>
      </c>
      <c r="V87" s="26">
        <v>27</v>
      </c>
      <c r="W87" s="33">
        <f t="shared" si="30"/>
        <v>52</v>
      </c>
      <c r="X87" s="26"/>
      <c r="Y87" s="26"/>
      <c r="Z87" s="26"/>
      <c r="AA87" s="33">
        <f t="shared" si="31"/>
        <v>446</v>
      </c>
      <c r="AB87" s="26" t="s">
        <v>117</v>
      </c>
      <c r="AC87" s="29"/>
    </row>
    <row r="88" spans="1:29" ht="15.6" x14ac:dyDescent="0.3">
      <c r="A88" s="26">
        <v>47</v>
      </c>
      <c r="B88" s="29" t="s">
        <v>154</v>
      </c>
      <c r="C88" s="26">
        <v>25</v>
      </c>
      <c r="D88" s="26">
        <v>25</v>
      </c>
      <c r="E88" s="33">
        <f t="shared" si="24"/>
        <v>50</v>
      </c>
      <c r="F88" s="26">
        <v>31</v>
      </c>
      <c r="G88" s="26">
        <v>25</v>
      </c>
      <c r="H88" s="33">
        <f t="shared" si="25"/>
        <v>56</v>
      </c>
      <c r="I88" s="26">
        <v>23</v>
      </c>
      <c r="J88" s="26">
        <v>33</v>
      </c>
      <c r="K88" s="33">
        <f t="shared" si="26"/>
        <v>56</v>
      </c>
      <c r="L88" s="26">
        <v>28</v>
      </c>
      <c r="M88" s="26">
        <v>30</v>
      </c>
      <c r="N88" s="33">
        <f t="shared" si="27"/>
        <v>58</v>
      </c>
      <c r="O88" s="26">
        <v>38</v>
      </c>
      <c r="P88" s="26">
        <v>27</v>
      </c>
      <c r="Q88" s="33">
        <f t="shared" si="28"/>
        <v>65</v>
      </c>
      <c r="R88" s="26">
        <v>25</v>
      </c>
      <c r="S88" s="26">
        <v>34</v>
      </c>
      <c r="T88" s="33">
        <f t="shared" si="29"/>
        <v>59</v>
      </c>
      <c r="U88" s="26">
        <v>25</v>
      </c>
      <c r="V88" s="26">
        <v>28</v>
      </c>
      <c r="W88" s="33">
        <f t="shared" si="30"/>
        <v>53</v>
      </c>
      <c r="X88" s="26"/>
      <c r="Y88" s="26"/>
      <c r="Z88" s="26"/>
      <c r="AA88" s="33">
        <f t="shared" si="31"/>
        <v>397</v>
      </c>
      <c r="AB88" s="26" t="s">
        <v>117</v>
      </c>
      <c r="AC88" s="29"/>
    </row>
    <row r="89" spans="1:29" ht="15.6" x14ac:dyDescent="0.3">
      <c r="A89" s="26">
        <v>48</v>
      </c>
      <c r="B89" s="29" t="s">
        <v>156</v>
      </c>
      <c r="C89" s="26">
        <v>24</v>
      </c>
      <c r="D89" s="26">
        <v>29</v>
      </c>
      <c r="E89" s="33">
        <f t="shared" si="24"/>
        <v>53</v>
      </c>
      <c r="F89" s="26">
        <v>25</v>
      </c>
      <c r="G89" s="26">
        <v>28</v>
      </c>
      <c r="H89" s="33">
        <f t="shared" si="25"/>
        <v>53</v>
      </c>
      <c r="I89" s="26">
        <v>25</v>
      </c>
      <c r="J89" s="26">
        <v>25</v>
      </c>
      <c r="K89" s="33">
        <f t="shared" si="26"/>
        <v>50</v>
      </c>
      <c r="L89" s="26">
        <v>25</v>
      </c>
      <c r="M89" s="26">
        <v>25</v>
      </c>
      <c r="N89" s="33">
        <f t="shared" si="27"/>
        <v>50</v>
      </c>
      <c r="O89" s="26">
        <v>24</v>
      </c>
      <c r="P89" s="26">
        <v>26</v>
      </c>
      <c r="Q89" s="33">
        <f t="shared" si="28"/>
        <v>50</v>
      </c>
      <c r="R89" s="26">
        <v>23</v>
      </c>
      <c r="S89" s="26">
        <v>30</v>
      </c>
      <c r="T89" s="33">
        <f t="shared" si="29"/>
        <v>53</v>
      </c>
      <c r="U89" s="26">
        <v>20</v>
      </c>
      <c r="V89" s="26">
        <v>30</v>
      </c>
      <c r="W89" s="33">
        <f t="shared" si="30"/>
        <v>50</v>
      </c>
      <c r="X89" s="26"/>
      <c r="Y89" s="26"/>
      <c r="Z89" s="26"/>
      <c r="AA89" s="33">
        <f t="shared" si="31"/>
        <v>359</v>
      </c>
      <c r="AB89" s="26" t="s">
        <v>117</v>
      </c>
      <c r="AC89" s="29"/>
    </row>
    <row r="90" spans="1:29" ht="15.6" x14ac:dyDescent="0.3">
      <c r="A90" s="26">
        <v>49</v>
      </c>
      <c r="B90" s="29" t="s">
        <v>642</v>
      </c>
      <c r="C90" s="26">
        <v>49</v>
      </c>
      <c r="D90" s="26">
        <v>50</v>
      </c>
      <c r="E90" s="33">
        <f t="shared" si="24"/>
        <v>99</v>
      </c>
      <c r="F90" s="26">
        <v>50</v>
      </c>
      <c r="G90" s="26">
        <v>50</v>
      </c>
      <c r="H90" s="33">
        <f t="shared" si="25"/>
        <v>100</v>
      </c>
      <c r="I90" s="26">
        <v>45</v>
      </c>
      <c r="J90" s="26">
        <v>49</v>
      </c>
      <c r="K90" s="33">
        <f t="shared" si="26"/>
        <v>94</v>
      </c>
      <c r="L90" s="26">
        <v>50</v>
      </c>
      <c r="M90" s="26">
        <v>50</v>
      </c>
      <c r="N90" s="33">
        <f t="shared" si="27"/>
        <v>100</v>
      </c>
      <c r="O90" s="26">
        <v>49</v>
      </c>
      <c r="P90" s="26">
        <v>49</v>
      </c>
      <c r="Q90" s="33">
        <f t="shared" si="28"/>
        <v>98</v>
      </c>
      <c r="R90" s="26">
        <v>49</v>
      </c>
      <c r="S90" s="26">
        <v>50</v>
      </c>
      <c r="T90" s="33">
        <f t="shared" si="29"/>
        <v>99</v>
      </c>
      <c r="U90" s="26">
        <v>49</v>
      </c>
      <c r="V90" s="26">
        <v>49</v>
      </c>
      <c r="W90" s="33">
        <f t="shared" si="30"/>
        <v>98</v>
      </c>
      <c r="X90" s="26"/>
      <c r="Y90" s="26"/>
      <c r="Z90" s="26"/>
      <c r="AA90" s="33">
        <f t="shared" si="31"/>
        <v>688</v>
      </c>
      <c r="AB90" s="26" t="s">
        <v>117</v>
      </c>
      <c r="AC90" s="29"/>
    </row>
    <row r="91" spans="1:29" ht="15.6" x14ac:dyDescent="0.3">
      <c r="A91" s="26">
        <v>50</v>
      </c>
      <c r="B91" s="29" t="s">
        <v>605</v>
      </c>
      <c r="C91" s="26">
        <v>38</v>
      </c>
      <c r="D91" s="26">
        <v>36</v>
      </c>
      <c r="E91" s="33">
        <f t="shared" si="24"/>
        <v>74</v>
      </c>
      <c r="F91" s="26">
        <v>41</v>
      </c>
      <c r="G91" s="26">
        <v>32</v>
      </c>
      <c r="H91" s="33">
        <f t="shared" si="25"/>
        <v>73</v>
      </c>
      <c r="I91" s="26">
        <v>34</v>
      </c>
      <c r="J91" s="26">
        <v>28</v>
      </c>
      <c r="K91" s="33">
        <f t="shared" si="26"/>
        <v>62</v>
      </c>
      <c r="L91" s="26">
        <v>38</v>
      </c>
      <c r="M91" s="26">
        <v>28</v>
      </c>
      <c r="N91" s="33">
        <f t="shared" si="27"/>
        <v>66</v>
      </c>
      <c r="O91" s="26">
        <v>25</v>
      </c>
      <c r="P91" s="26">
        <v>26</v>
      </c>
      <c r="Q91" s="33">
        <f t="shared" si="28"/>
        <v>51</v>
      </c>
      <c r="R91" s="26">
        <v>43</v>
      </c>
      <c r="S91" s="26">
        <v>31</v>
      </c>
      <c r="T91" s="33">
        <f t="shared" si="29"/>
        <v>74</v>
      </c>
      <c r="U91" s="26">
        <v>30</v>
      </c>
      <c r="V91" s="26">
        <v>26</v>
      </c>
      <c r="W91" s="33">
        <f t="shared" si="30"/>
        <v>56</v>
      </c>
      <c r="X91" s="26"/>
      <c r="Y91" s="26"/>
      <c r="Z91" s="26"/>
      <c r="AA91" s="33">
        <f t="shared" si="31"/>
        <v>456</v>
      </c>
      <c r="AB91" s="26" t="s">
        <v>117</v>
      </c>
      <c r="AC91" s="29"/>
    </row>
    <row r="92" spans="1:29" ht="15.6" x14ac:dyDescent="0.3">
      <c r="A92" s="26">
        <v>51</v>
      </c>
      <c r="B92" s="29" t="s">
        <v>568</v>
      </c>
      <c r="C92" s="29">
        <v>25</v>
      </c>
      <c r="D92" s="29">
        <v>25</v>
      </c>
      <c r="E92" s="33">
        <f t="shared" si="24"/>
        <v>50</v>
      </c>
      <c r="F92" s="29">
        <v>36</v>
      </c>
      <c r="G92" s="29">
        <v>31</v>
      </c>
      <c r="H92" s="33">
        <f t="shared" si="25"/>
        <v>67</v>
      </c>
      <c r="I92" s="29">
        <v>25</v>
      </c>
      <c r="J92" s="29">
        <v>25</v>
      </c>
      <c r="K92" s="33">
        <f t="shared" si="26"/>
        <v>50</v>
      </c>
      <c r="L92" s="29">
        <v>24</v>
      </c>
      <c r="M92" s="29">
        <v>26</v>
      </c>
      <c r="N92" s="33">
        <f t="shared" si="27"/>
        <v>50</v>
      </c>
      <c r="O92" s="29">
        <v>25</v>
      </c>
      <c r="P92" s="29">
        <v>25</v>
      </c>
      <c r="Q92" s="33">
        <f t="shared" si="28"/>
        <v>50</v>
      </c>
      <c r="R92" s="29">
        <v>36</v>
      </c>
      <c r="S92" s="29">
        <v>30</v>
      </c>
      <c r="T92" s="33">
        <f t="shared" si="29"/>
        <v>66</v>
      </c>
      <c r="U92" s="29">
        <v>25</v>
      </c>
      <c r="V92" s="29">
        <v>25</v>
      </c>
      <c r="W92" s="33">
        <f t="shared" si="30"/>
        <v>50</v>
      </c>
      <c r="X92" s="29"/>
      <c r="Y92" s="29"/>
      <c r="Z92" s="29"/>
      <c r="AA92" s="33">
        <f t="shared" si="31"/>
        <v>383</v>
      </c>
      <c r="AB92" s="26" t="s">
        <v>117</v>
      </c>
      <c r="AC92" s="29"/>
    </row>
    <row r="93" spans="1:29" ht="15.6" x14ac:dyDescent="0.3">
      <c r="A93" s="26"/>
      <c r="B93" s="29"/>
      <c r="C93" s="29"/>
      <c r="D93" s="29"/>
      <c r="E93" s="37"/>
      <c r="F93" s="29"/>
      <c r="G93" s="29"/>
      <c r="H93" s="37"/>
      <c r="I93" s="29"/>
      <c r="J93" s="29"/>
      <c r="K93" s="37"/>
      <c r="L93" s="29"/>
      <c r="M93" s="29"/>
      <c r="N93" s="37"/>
      <c r="O93" s="29"/>
      <c r="P93" s="29"/>
      <c r="Q93" s="37"/>
      <c r="R93" s="29"/>
      <c r="S93" s="29"/>
      <c r="T93" s="37"/>
      <c r="U93" s="29"/>
      <c r="V93" s="29"/>
      <c r="W93" s="37"/>
      <c r="X93" s="29"/>
      <c r="Y93" s="29"/>
      <c r="Z93" s="29"/>
      <c r="AA93" s="37"/>
      <c r="AB93" s="29"/>
      <c r="AC93" s="29"/>
    </row>
    <row r="94" spans="1:29" ht="15.6" x14ac:dyDescent="0.3">
      <c r="A94" s="26"/>
      <c r="B94" s="29"/>
      <c r="C94" s="29"/>
      <c r="D94" s="29"/>
      <c r="E94" s="37"/>
      <c r="F94" s="29"/>
      <c r="G94" s="29"/>
      <c r="H94" s="37"/>
      <c r="I94" s="29"/>
      <c r="J94" s="29"/>
      <c r="K94" s="37"/>
      <c r="L94" s="29"/>
      <c r="M94" s="29"/>
      <c r="N94" s="37"/>
      <c r="O94" s="29"/>
      <c r="P94" s="29"/>
      <c r="Q94" s="37"/>
      <c r="R94" s="29"/>
      <c r="S94" s="29"/>
      <c r="T94" s="37"/>
      <c r="U94" s="29"/>
      <c r="V94" s="29"/>
      <c r="W94" s="37"/>
      <c r="X94" s="29"/>
      <c r="Y94" s="29"/>
      <c r="Z94" s="29"/>
      <c r="AA94" s="37"/>
      <c r="AB94" s="29"/>
      <c r="AC94" s="29"/>
    </row>
    <row r="95" spans="1:29" ht="15.6" x14ac:dyDescent="0.3">
      <c r="A95" s="26"/>
      <c r="B95" s="27"/>
      <c r="C95" s="26"/>
      <c r="D95" s="26"/>
      <c r="E95" s="33"/>
      <c r="F95" s="26"/>
      <c r="G95" s="26"/>
      <c r="H95" s="33"/>
      <c r="I95" s="26"/>
      <c r="J95" s="26"/>
      <c r="K95" s="33"/>
      <c r="L95" s="26"/>
      <c r="M95" s="26"/>
      <c r="N95" s="33"/>
      <c r="O95" s="26"/>
      <c r="P95" s="26"/>
      <c r="Q95" s="33"/>
      <c r="R95" s="26"/>
      <c r="S95" s="26"/>
      <c r="T95" s="33"/>
      <c r="U95" s="26"/>
      <c r="V95" s="26"/>
      <c r="W95" s="33"/>
      <c r="X95" s="26"/>
      <c r="Y95" s="26"/>
      <c r="Z95" s="26"/>
      <c r="AA95" s="33"/>
      <c r="AB95" s="26"/>
      <c r="AC95" s="29"/>
    </row>
    <row r="96" spans="1:29" ht="15.6" x14ac:dyDescent="0.3">
      <c r="A96" s="26"/>
      <c r="B96" s="29"/>
      <c r="C96" s="29"/>
      <c r="D96" s="29"/>
      <c r="E96" s="37"/>
      <c r="F96" s="29"/>
      <c r="G96" s="29"/>
      <c r="H96" s="37"/>
      <c r="I96" s="29"/>
      <c r="J96" s="29"/>
      <c r="K96" s="37"/>
      <c r="L96" s="29"/>
      <c r="M96" s="29"/>
      <c r="N96" s="37"/>
      <c r="O96" s="29"/>
      <c r="P96" s="29"/>
      <c r="Q96" s="37"/>
      <c r="R96" s="29"/>
      <c r="S96" s="29"/>
      <c r="T96" s="37"/>
      <c r="U96" s="29"/>
      <c r="V96" s="29"/>
      <c r="W96" s="37"/>
      <c r="X96" s="29"/>
      <c r="Y96" s="29"/>
      <c r="Z96" s="29"/>
      <c r="AA96" s="37"/>
      <c r="AB96" s="29"/>
      <c r="AC96" s="29"/>
    </row>
    <row r="97" spans="1:29" ht="15.6" x14ac:dyDescent="0.3">
      <c r="A97" s="26"/>
      <c r="B97" s="27"/>
      <c r="C97" s="26"/>
      <c r="D97" s="26"/>
      <c r="E97" s="33"/>
      <c r="F97" s="26"/>
      <c r="G97" s="26"/>
      <c r="H97" s="33"/>
      <c r="I97" s="26"/>
      <c r="J97" s="26"/>
      <c r="K97" s="33"/>
      <c r="L97" s="26"/>
      <c r="M97" s="26"/>
      <c r="N97" s="33"/>
      <c r="O97" s="26"/>
      <c r="P97" s="26"/>
      <c r="Q97" s="33"/>
      <c r="R97" s="26"/>
      <c r="S97" s="26"/>
      <c r="T97" s="33"/>
      <c r="U97" s="26"/>
      <c r="V97" s="26"/>
      <c r="W97" s="33"/>
      <c r="X97" s="26"/>
      <c r="Y97" s="26"/>
      <c r="Z97" s="26"/>
      <c r="AA97" s="33"/>
      <c r="AB97" s="26"/>
      <c r="AC97" s="29"/>
    </row>
    <row r="98" spans="1:29" ht="15.6" x14ac:dyDescent="0.3">
      <c r="A98" s="26"/>
      <c r="B98" s="27"/>
      <c r="C98" s="26"/>
      <c r="D98" s="26"/>
      <c r="E98" s="33"/>
      <c r="F98" s="26"/>
      <c r="G98" s="26"/>
      <c r="H98" s="33"/>
      <c r="I98" s="26"/>
      <c r="J98" s="26"/>
      <c r="K98" s="33"/>
      <c r="L98" s="26"/>
      <c r="M98" s="26"/>
      <c r="N98" s="33"/>
      <c r="O98" s="26"/>
      <c r="P98" s="26"/>
      <c r="Q98" s="33"/>
      <c r="R98" s="26"/>
      <c r="S98" s="26"/>
      <c r="T98" s="33"/>
      <c r="U98" s="26"/>
      <c r="V98" s="26"/>
      <c r="W98" s="33"/>
      <c r="X98" s="26"/>
      <c r="Y98" s="26"/>
      <c r="Z98" s="26"/>
      <c r="AA98" s="33"/>
      <c r="AB98" s="26"/>
      <c r="AC98" s="29"/>
    </row>
    <row r="99" spans="1:29" ht="15.6" x14ac:dyDescent="0.3">
      <c r="A99" s="26"/>
      <c r="B99" s="27"/>
      <c r="C99" s="26"/>
      <c r="D99" s="26"/>
      <c r="E99" s="33"/>
      <c r="F99" s="26"/>
      <c r="G99" s="26"/>
      <c r="H99" s="33"/>
      <c r="I99" s="26"/>
      <c r="J99" s="26"/>
      <c r="K99" s="33"/>
      <c r="L99" s="26"/>
      <c r="M99" s="26"/>
      <c r="N99" s="33"/>
      <c r="O99" s="26"/>
      <c r="P99" s="26"/>
      <c r="Q99" s="33"/>
      <c r="R99" s="26"/>
      <c r="S99" s="26"/>
      <c r="T99" s="33"/>
      <c r="U99" s="26"/>
      <c r="V99" s="26"/>
      <c r="W99" s="33"/>
      <c r="X99" s="26"/>
      <c r="Y99" s="26"/>
      <c r="Z99" s="26"/>
      <c r="AA99" s="33"/>
      <c r="AB99" s="26"/>
      <c r="AC99" s="29"/>
    </row>
    <row r="100" spans="1:29" ht="15.6" x14ac:dyDescent="0.3">
      <c r="A100" s="26"/>
      <c r="B100" s="27"/>
      <c r="C100" s="26"/>
      <c r="D100" s="26"/>
      <c r="E100" s="33"/>
      <c r="F100" s="26"/>
      <c r="G100" s="26"/>
      <c r="H100" s="33"/>
      <c r="I100" s="26"/>
      <c r="J100" s="26"/>
      <c r="K100" s="33"/>
      <c r="L100" s="26"/>
      <c r="M100" s="26"/>
      <c r="N100" s="33"/>
      <c r="O100" s="26"/>
      <c r="P100" s="26"/>
      <c r="Q100" s="33"/>
      <c r="R100" s="26"/>
      <c r="S100" s="26"/>
      <c r="T100" s="33"/>
      <c r="U100" s="26"/>
      <c r="V100" s="26"/>
      <c r="W100" s="33"/>
      <c r="X100" s="26"/>
      <c r="Y100" s="26"/>
      <c r="Z100" s="26"/>
      <c r="AA100" s="33"/>
      <c r="AB100" s="26"/>
      <c r="AC100" s="29"/>
    </row>
    <row r="101" spans="1:29" x14ac:dyDescent="0.25">
      <c r="A101" s="3" t="s">
        <v>277</v>
      </c>
      <c r="B101" s="50"/>
      <c r="C101" s="8"/>
      <c r="D101" s="8"/>
      <c r="E101" s="8"/>
      <c r="F101" s="3"/>
      <c r="G101" s="3" t="s">
        <v>468</v>
      </c>
      <c r="H101" s="3"/>
      <c r="I101" s="3"/>
      <c r="J101" s="3"/>
      <c r="K101" s="3"/>
      <c r="L101" s="3"/>
      <c r="M101" s="3"/>
      <c r="N101" s="3"/>
      <c r="O101" s="3" t="s">
        <v>82</v>
      </c>
      <c r="P101" s="3"/>
      <c r="Q101" s="3"/>
      <c r="R101" s="3"/>
      <c r="S101" s="3"/>
      <c r="T101" s="3"/>
      <c r="U101" s="3" t="s">
        <v>83</v>
      </c>
      <c r="V101" s="3"/>
      <c r="W101" s="3"/>
      <c r="X101" s="3"/>
      <c r="Y101" s="3"/>
      <c r="Z101" s="3"/>
      <c r="AA101" s="7"/>
      <c r="AB101" s="10"/>
      <c r="AC101" s="3"/>
    </row>
    <row r="102" spans="1:29" x14ac:dyDescent="0.25">
      <c r="A102" s="22" t="s">
        <v>89</v>
      </c>
      <c r="B102" s="22"/>
      <c r="C102" s="22"/>
      <c r="D102" s="22"/>
      <c r="E102" s="22"/>
      <c r="F102" s="22" t="s">
        <v>90</v>
      </c>
      <c r="G102" s="22"/>
      <c r="H102" s="22"/>
      <c r="I102" s="22"/>
      <c r="J102" s="22"/>
      <c r="K102" s="22"/>
      <c r="L102" s="22"/>
      <c r="M102" s="22"/>
      <c r="N102" s="22" t="s">
        <v>462</v>
      </c>
      <c r="O102" s="22"/>
      <c r="P102" s="22"/>
      <c r="Q102" s="22"/>
      <c r="R102" s="22"/>
      <c r="S102" s="22"/>
      <c r="T102" s="22" t="s">
        <v>463</v>
      </c>
      <c r="U102" s="22"/>
      <c r="V102" s="22"/>
      <c r="W102" s="22"/>
      <c r="X102" s="22"/>
      <c r="Y102" s="22"/>
      <c r="Z102" s="3"/>
      <c r="AA102" s="3"/>
      <c r="AB102" s="3" t="s">
        <v>85</v>
      </c>
      <c r="AC102" s="3"/>
    </row>
    <row r="103" spans="1:29" x14ac:dyDescent="0.25">
      <c r="A103" s="22" t="s">
        <v>466</v>
      </c>
      <c r="B103" s="22"/>
      <c r="C103" s="22"/>
      <c r="D103" s="22"/>
      <c r="E103" s="22"/>
      <c r="F103" s="22" t="s">
        <v>91</v>
      </c>
      <c r="G103" s="22"/>
      <c r="H103" s="22"/>
      <c r="I103" s="22"/>
      <c r="J103" s="22"/>
      <c r="K103" s="22"/>
      <c r="L103" s="22"/>
      <c r="M103" s="22"/>
      <c r="N103" s="22" t="s">
        <v>94</v>
      </c>
      <c r="O103" s="22"/>
      <c r="P103" s="22"/>
      <c r="Q103" s="22"/>
      <c r="R103" s="22"/>
      <c r="S103" s="22"/>
      <c r="T103" s="22" t="s">
        <v>97</v>
      </c>
      <c r="U103" s="22"/>
      <c r="V103" s="22"/>
      <c r="W103" s="22"/>
      <c r="X103" s="22"/>
      <c r="Y103" s="22"/>
      <c r="Z103" s="3"/>
      <c r="AA103" s="3"/>
      <c r="AB103" s="3" t="s">
        <v>99</v>
      </c>
      <c r="AC103" s="3"/>
    </row>
    <row r="104" spans="1:29" x14ac:dyDescent="0.25">
      <c r="A104" s="22" t="s">
        <v>89</v>
      </c>
      <c r="B104" s="22"/>
      <c r="C104" s="22"/>
      <c r="D104" s="22"/>
      <c r="E104" s="22"/>
      <c r="F104" s="22" t="s">
        <v>92</v>
      </c>
      <c r="G104" s="22"/>
      <c r="H104" s="22"/>
      <c r="I104" s="22"/>
      <c r="J104" s="22"/>
      <c r="K104" s="22"/>
      <c r="L104" s="22"/>
      <c r="M104" s="22"/>
      <c r="N104" s="22" t="s">
        <v>95</v>
      </c>
      <c r="O104" s="22"/>
      <c r="P104" s="22"/>
      <c r="Q104" s="22"/>
      <c r="R104" s="22"/>
      <c r="S104" s="22"/>
      <c r="T104" s="22" t="s">
        <v>98</v>
      </c>
      <c r="U104" s="22"/>
      <c r="V104" s="22"/>
      <c r="W104" s="22"/>
      <c r="X104" s="22"/>
      <c r="Y104" s="22"/>
      <c r="Z104" s="3"/>
      <c r="AA104" s="3"/>
      <c r="AB104" s="3"/>
      <c r="AC104" s="3"/>
    </row>
    <row r="106" spans="1:29" hidden="1" x14ac:dyDescent="0.25">
      <c r="A106" s="3" t="s">
        <v>466</v>
      </c>
      <c r="B106" s="3"/>
      <c r="C106" s="3"/>
      <c r="D106" s="3"/>
      <c r="E106" s="3"/>
      <c r="F106" s="3" t="s">
        <v>91</v>
      </c>
      <c r="G106" s="3"/>
      <c r="H106" s="3"/>
      <c r="I106" s="3"/>
      <c r="J106" s="3"/>
      <c r="K106" s="3"/>
      <c r="L106" s="3"/>
      <c r="M106" s="3"/>
      <c r="N106" s="3" t="s">
        <v>94</v>
      </c>
      <c r="O106" s="3"/>
      <c r="P106" s="3"/>
      <c r="Q106" s="3"/>
      <c r="R106" s="3"/>
      <c r="S106" s="3"/>
      <c r="T106" s="3" t="s">
        <v>97</v>
      </c>
      <c r="U106" s="3"/>
      <c r="V106" s="3"/>
      <c r="W106" s="3"/>
      <c r="X106" s="3"/>
      <c r="Y106" s="3"/>
      <c r="Z106" s="3"/>
      <c r="AA106" s="3"/>
      <c r="AB106" s="3" t="s">
        <v>99</v>
      </c>
      <c r="AC106" s="3"/>
    </row>
    <row r="107" spans="1:29" hidden="1" x14ac:dyDescent="0.25">
      <c r="A107" s="3" t="s">
        <v>89</v>
      </c>
      <c r="B107" s="3"/>
      <c r="C107" s="3"/>
      <c r="D107" s="3"/>
      <c r="E107" s="3"/>
      <c r="F107" s="3" t="s">
        <v>92</v>
      </c>
      <c r="G107" s="3"/>
      <c r="H107" s="3"/>
      <c r="I107" s="3"/>
      <c r="J107" s="3"/>
      <c r="K107" s="3"/>
      <c r="L107" s="3"/>
      <c r="M107" s="3"/>
      <c r="N107" s="3" t="s">
        <v>95</v>
      </c>
      <c r="O107" s="3"/>
      <c r="P107" s="3"/>
      <c r="Q107" s="3"/>
      <c r="R107" s="3"/>
      <c r="S107" s="3"/>
      <c r="T107" s="3" t="s">
        <v>98</v>
      </c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idden="1" x14ac:dyDescent="0.25"/>
    <row r="109" spans="1:29" hidden="1" x14ac:dyDescent="0.25">
      <c r="A109">
        <f ca="1">109:143</f>
        <v>0</v>
      </c>
    </row>
    <row r="110" spans="1:29" hidden="1" x14ac:dyDescent="0.25"/>
    <row r="111" spans="1:29" hidden="1" x14ac:dyDescent="0.25">
      <c r="B111" s="7" t="s">
        <v>494</v>
      </c>
      <c r="M111" t="s">
        <v>467</v>
      </c>
      <c r="AB111" s="3" t="s">
        <v>456</v>
      </c>
      <c r="AC111" s="1"/>
    </row>
    <row r="112" spans="1:29" hidden="1" x14ac:dyDescent="0.25">
      <c r="B112" s="7" t="s">
        <v>81</v>
      </c>
      <c r="AB112" s="3" t="s">
        <v>100</v>
      </c>
      <c r="AC112" s="3"/>
    </row>
    <row r="113" spans="1:29" hidden="1" x14ac:dyDescent="0.25">
      <c r="B113" s="40" t="s">
        <v>459</v>
      </c>
      <c r="C113" s="1"/>
      <c r="AB113" s="3" t="s">
        <v>158</v>
      </c>
      <c r="AC113" s="3"/>
    </row>
    <row r="114" spans="1:29" hidden="1" x14ac:dyDescent="0.25">
      <c r="B114" s="8" t="s">
        <v>460</v>
      </c>
      <c r="C114" s="41"/>
      <c r="K114" s="2"/>
      <c r="AB114" s="3" t="s">
        <v>103</v>
      </c>
      <c r="AC114" s="3"/>
    </row>
    <row r="115" spans="1:29" hidden="1" x14ac:dyDescent="0.25">
      <c r="AB115" s="3" t="s">
        <v>159</v>
      </c>
      <c r="AC115" s="3"/>
    </row>
    <row r="116" spans="1:29" ht="15.6" hidden="1" x14ac:dyDescent="0.3">
      <c r="A116" t="s">
        <v>101</v>
      </c>
      <c r="C116" s="5" t="s">
        <v>482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5"/>
      <c r="X116" s="6"/>
      <c r="Y116" s="6"/>
      <c r="Z116" s="6"/>
      <c r="AA116" s="5"/>
      <c r="AB116" s="5"/>
      <c r="AC116" s="5"/>
    </row>
    <row r="117" spans="1:29" hidden="1" x14ac:dyDescent="0.25">
      <c r="A117" s="72" t="s">
        <v>0</v>
      </c>
      <c r="B117" s="75" t="s">
        <v>469</v>
      </c>
      <c r="C117" s="78" t="s">
        <v>458</v>
      </c>
      <c r="D117" s="79"/>
      <c r="E117" s="80"/>
      <c r="F117" s="78" t="s">
        <v>1</v>
      </c>
      <c r="G117" s="79"/>
      <c r="H117" s="80"/>
      <c r="I117" s="78" t="s">
        <v>2</v>
      </c>
      <c r="J117" s="79"/>
      <c r="K117" s="80"/>
      <c r="L117" s="78" t="s">
        <v>8</v>
      </c>
      <c r="M117" s="79"/>
      <c r="N117" s="80"/>
      <c r="O117" s="78" t="s">
        <v>3</v>
      </c>
      <c r="P117" s="79"/>
      <c r="Q117" s="80"/>
      <c r="R117" s="42"/>
      <c r="S117" s="42" t="s">
        <v>4</v>
      </c>
      <c r="T117" s="42"/>
      <c r="U117" s="78" t="s">
        <v>5</v>
      </c>
      <c r="V117" s="79"/>
      <c r="W117" s="80"/>
      <c r="X117" s="72" t="s">
        <v>16</v>
      </c>
      <c r="Y117" s="72" t="s">
        <v>17</v>
      </c>
      <c r="Z117" s="72" t="s">
        <v>18</v>
      </c>
      <c r="AA117" s="72" t="s">
        <v>19</v>
      </c>
      <c r="AB117" s="72" t="s">
        <v>20</v>
      </c>
      <c r="AC117" s="72" t="s">
        <v>21</v>
      </c>
    </row>
    <row r="118" spans="1:29" ht="50.4" hidden="1" x14ac:dyDescent="0.25">
      <c r="A118" s="73"/>
      <c r="B118" s="76"/>
      <c r="C118" s="43" t="s">
        <v>6</v>
      </c>
      <c r="D118" s="43" t="s">
        <v>461</v>
      </c>
      <c r="E118" s="43" t="s">
        <v>7</v>
      </c>
      <c r="F118" s="43" t="s">
        <v>6</v>
      </c>
      <c r="G118" s="43" t="s">
        <v>461</v>
      </c>
      <c r="H118" s="43" t="s">
        <v>7</v>
      </c>
      <c r="I118" s="43" t="s">
        <v>6</v>
      </c>
      <c r="J118" s="43" t="s">
        <v>461</v>
      </c>
      <c r="K118" s="43" t="s">
        <v>7</v>
      </c>
      <c r="L118" s="43" t="s">
        <v>6</v>
      </c>
      <c r="M118" s="43" t="s">
        <v>461</v>
      </c>
      <c r="N118" s="43" t="s">
        <v>7</v>
      </c>
      <c r="O118" s="43" t="s">
        <v>6</v>
      </c>
      <c r="P118" s="43" t="s">
        <v>461</v>
      </c>
      <c r="Q118" s="43" t="s">
        <v>7</v>
      </c>
      <c r="R118" s="43" t="s">
        <v>6</v>
      </c>
      <c r="S118" s="43" t="s">
        <v>461</v>
      </c>
      <c r="T118" s="43" t="s">
        <v>7</v>
      </c>
      <c r="U118" s="43" t="s">
        <v>6</v>
      </c>
      <c r="V118" s="43" t="s">
        <v>461</v>
      </c>
      <c r="W118" s="43" t="s">
        <v>7</v>
      </c>
      <c r="X118" s="73"/>
      <c r="Y118" s="73"/>
      <c r="Z118" s="73"/>
      <c r="AA118" s="73"/>
      <c r="AB118" s="73"/>
      <c r="AC118" s="73"/>
    </row>
    <row r="119" spans="1:29" hidden="1" x14ac:dyDescent="0.25">
      <c r="A119" s="74"/>
      <c r="B119" s="77"/>
      <c r="C119" s="4">
        <v>50</v>
      </c>
      <c r="D119" s="4">
        <v>50</v>
      </c>
      <c r="E119" s="4">
        <v>100</v>
      </c>
      <c r="F119" s="4">
        <v>50</v>
      </c>
      <c r="G119" s="4">
        <v>50</v>
      </c>
      <c r="H119" s="4">
        <v>100</v>
      </c>
      <c r="I119" s="4">
        <v>50</v>
      </c>
      <c r="J119" s="4">
        <v>50</v>
      </c>
      <c r="K119" s="4">
        <v>100</v>
      </c>
      <c r="L119" s="4">
        <v>50</v>
      </c>
      <c r="M119" s="4">
        <v>50</v>
      </c>
      <c r="N119" s="4">
        <v>100</v>
      </c>
      <c r="O119" s="4">
        <v>50</v>
      </c>
      <c r="P119" s="4">
        <v>50</v>
      </c>
      <c r="Q119" s="4">
        <v>100</v>
      </c>
      <c r="R119" s="4">
        <v>50</v>
      </c>
      <c r="S119" s="4">
        <v>50</v>
      </c>
      <c r="T119" s="4">
        <v>100</v>
      </c>
      <c r="U119" s="4">
        <v>50</v>
      </c>
      <c r="V119" s="4">
        <v>50</v>
      </c>
      <c r="W119" s="4">
        <v>100</v>
      </c>
      <c r="X119" s="74"/>
      <c r="Y119" s="74"/>
      <c r="Z119" s="74"/>
      <c r="AA119" s="74"/>
      <c r="AB119" s="74"/>
      <c r="AC119" s="74"/>
    </row>
    <row r="120" spans="1:29" hidden="1" x14ac:dyDescent="0.25">
      <c r="A120" s="4">
        <v>1</v>
      </c>
      <c r="B120" s="44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5"/>
      <c r="Y120" s="45"/>
      <c r="Z120" s="45"/>
      <c r="AA120" s="4"/>
      <c r="AB120" s="46" t="s">
        <v>117</v>
      </c>
      <c r="AC120" s="47"/>
    </row>
    <row r="121" spans="1:29" hidden="1" x14ac:dyDescent="0.25">
      <c r="A121" s="4">
        <v>2</v>
      </c>
      <c r="B121" s="44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5"/>
      <c r="Y121" s="45"/>
      <c r="Z121" s="45"/>
      <c r="AA121" s="4"/>
      <c r="AB121" s="46" t="s">
        <v>117</v>
      </c>
      <c r="AC121" s="47"/>
    </row>
    <row r="122" spans="1:29" hidden="1" x14ac:dyDescent="0.25">
      <c r="A122" s="4">
        <v>3</v>
      </c>
      <c r="B122" s="44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5"/>
      <c r="Y122" s="45"/>
      <c r="Z122" s="45"/>
      <c r="AA122" s="4"/>
      <c r="AB122" s="46" t="s">
        <v>117</v>
      </c>
      <c r="AC122" s="47"/>
    </row>
    <row r="123" spans="1:29" hidden="1" x14ac:dyDescent="0.25">
      <c r="A123" s="4">
        <v>4</v>
      </c>
      <c r="B123" s="44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5"/>
      <c r="Y123" s="45"/>
      <c r="Z123" s="45"/>
      <c r="AA123" s="4"/>
      <c r="AB123" s="46" t="s">
        <v>117</v>
      </c>
      <c r="AC123" s="47"/>
    </row>
    <row r="124" spans="1:29" hidden="1" x14ac:dyDescent="0.25">
      <c r="A124" s="4">
        <v>5</v>
      </c>
      <c r="B124" s="44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5"/>
      <c r="Y124" s="45"/>
      <c r="Z124" s="45"/>
      <c r="AA124" s="4"/>
      <c r="AB124" s="46" t="s">
        <v>117</v>
      </c>
      <c r="AC124" s="47"/>
    </row>
    <row r="125" spans="1:29" hidden="1" x14ac:dyDescent="0.25">
      <c r="A125" s="4">
        <v>6</v>
      </c>
      <c r="B125" s="44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5"/>
      <c r="Y125" s="45"/>
      <c r="Z125" s="45"/>
      <c r="AA125" s="4"/>
      <c r="AB125" s="46" t="s">
        <v>117</v>
      </c>
      <c r="AC125" s="47"/>
    </row>
    <row r="126" spans="1:29" hidden="1" x14ac:dyDescent="0.25">
      <c r="A126" s="4">
        <v>7</v>
      </c>
      <c r="B126" s="44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5"/>
      <c r="Y126" s="45"/>
      <c r="Z126" s="45"/>
      <c r="AA126" s="4"/>
      <c r="AB126" s="46" t="s">
        <v>117</v>
      </c>
      <c r="AC126" s="47"/>
    </row>
    <row r="127" spans="1:29" hidden="1" x14ac:dyDescent="0.25">
      <c r="A127" s="4">
        <v>8</v>
      </c>
      <c r="B127" s="51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5"/>
      <c r="Y127" s="45"/>
      <c r="Z127" s="45"/>
      <c r="AA127" s="4"/>
      <c r="AB127" s="46" t="s">
        <v>117</v>
      </c>
      <c r="AC127" s="47"/>
    </row>
    <row r="128" spans="1:29" hidden="1" x14ac:dyDescent="0.25">
      <c r="A128" s="4">
        <v>10</v>
      </c>
      <c r="B128" s="44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5"/>
      <c r="Y128" s="45"/>
      <c r="Z128" s="45"/>
      <c r="AA128" s="4"/>
      <c r="AB128" s="46" t="s">
        <v>117</v>
      </c>
      <c r="AC128" s="47"/>
    </row>
    <row r="129" spans="1:29" hidden="1" x14ac:dyDescent="0.25">
      <c r="A129" s="4">
        <v>11</v>
      </c>
      <c r="B129" s="44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5"/>
      <c r="Y129" s="45"/>
      <c r="Z129" s="45"/>
      <c r="AA129" s="4"/>
      <c r="AB129" s="46" t="s">
        <v>117</v>
      </c>
      <c r="AC129" s="47"/>
    </row>
    <row r="130" spans="1:29" hidden="1" x14ac:dyDescent="0.25">
      <c r="A130" s="4">
        <v>12</v>
      </c>
      <c r="B130" s="44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5"/>
      <c r="Y130" s="45"/>
      <c r="Z130" s="45"/>
      <c r="AA130" s="4"/>
      <c r="AB130" s="46" t="s">
        <v>117</v>
      </c>
      <c r="AC130" s="47"/>
    </row>
    <row r="131" spans="1:29" hidden="1" x14ac:dyDescent="0.25">
      <c r="A131" s="4">
        <v>13</v>
      </c>
      <c r="B131" s="44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5"/>
      <c r="Y131" s="45"/>
      <c r="Z131" s="45"/>
      <c r="AA131" s="4"/>
      <c r="AB131" s="46" t="s">
        <v>117</v>
      </c>
      <c r="AC131" s="47"/>
    </row>
    <row r="132" spans="1:29" hidden="1" x14ac:dyDescent="0.25">
      <c r="A132" s="4">
        <v>14</v>
      </c>
      <c r="B132" s="44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5"/>
      <c r="Y132" s="45"/>
      <c r="Z132" s="45"/>
      <c r="AA132" s="4"/>
      <c r="AB132" s="46" t="s">
        <v>117</v>
      </c>
      <c r="AC132" s="47"/>
    </row>
    <row r="133" spans="1:29" hidden="1" x14ac:dyDescent="0.25">
      <c r="A133" s="4">
        <v>15</v>
      </c>
      <c r="B133" s="44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5"/>
      <c r="Y133" s="45"/>
      <c r="Z133" s="45"/>
      <c r="AA133" s="4"/>
      <c r="AB133" s="46" t="s">
        <v>117</v>
      </c>
      <c r="AC133" s="47"/>
    </row>
    <row r="134" spans="1:29" hidden="1" x14ac:dyDescent="0.25">
      <c r="A134" s="4"/>
      <c r="B134" s="48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5"/>
      <c r="Y134" s="45"/>
      <c r="Z134" s="45"/>
      <c r="AA134" s="4"/>
      <c r="AB134" s="46"/>
      <c r="AC134" s="47"/>
    </row>
    <row r="135" spans="1:29" hidden="1" x14ac:dyDescent="0.25">
      <c r="A135" s="4"/>
      <c r="B135" s="44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5"/>
      <c r="Y135" s="45"/>
      <c r="Z135" s="45"/>
      <c r="AA135" s="4"/>
      <c r="AB135" s="46"/>
      <c r="AC135" s="47"/>
    </row>
    <row r="136" spans="1:29" hidden="1" x14ac:dyDescent="0.25">
      <c r="A136" s="4"/>
      <c r="B136" s="44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5"/>
      <c r="Y136" s="45"/>
      <c r="Z136" s="45"/>
      <c r="AA136" s="4"/>
      <c r="AB136" s="46"/>
      <c r="AC136" s="47"/>
    </row>
    <row r="137" spans="1:29" hidden="1" x14ac:dyDescent="0.25">
      <c r="A137" s="4"/>
      <c r="B137" s="44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5"/>
      <c r="Y137" s="45"/>
      <c r="Z137" s="45"/>
      <c r="AA137" s="4"/>
      <c r="AB137" s="46"/>
      <c r="AC137" s="47"/>
    </row>
    <row r="138" spans="1:29" hidden="1" x14ac:dyDescent="0.25">
      <c r="A138" s="4"/>
      <c r="B138" s="44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5"/>
      <c r="Y138" s="45"/>
      <c r="Z138" s="45"/>
      <c r="AA138" s="4"/>
      <c r="AB138" s="46"/>
      <c r="AC138" s="47"/>
    </row>
    <row r="139" spans="1:29" hidden="1" x14ac:dyDescent="0.25">
      <c r="A139" s="3" t="s">
        <v>277</v>
      </c>
      <c r="B139" s="5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  <c r="Y139" s="9"/>
      <c r="Z139" s="9"/>
      <c r="AA139" s="7"/>
      <c r="AB139" s="10"/>
      <c r="AC139" s="3"/>
    </row>
    <row r="140" spans="1:29" hidden="1" x14ac:dyDescent="0.25">
      <c r="A140" s="3" t="s">
        <v>89</v>
      </c>
      <c r="B140" s="3"/>
      <c r="C140" s="3"/>
      <c r="D140" s="3"/>
      <c r="E140" s="3"/>
      <c r="F140" s="3" t="s">
        <v>90</v>
      </c>
      <c r="G140" s="3"/>
      <c r="H140" s="3"/>
      <c r="I140" s="3"/>
      <c r="J140" s="3"/>
      <c r="K140" s="3"/>
      <c r="L140" s="3"/>
      <c r="M140" s="3"/>
      <c r="N140" s="3" t="s">
        <v>93</v>
      </c>
      <c r="O140" s="3"/>
      <c r="P140" s="3"/>
      <c r="Q140" s="3"/>
      <c r="R140" s="3"/>
      <c r="S140" s="3"/>
      <c r="T140" s="3" t="s">
        <v>96</v>
      </c>
      <c r="U140" s="3"/>
      <c r="V140" s="3"/>
      <c r="W140" s="3"/>
      <c r="X140" s="3"/>
      <c r="Y140" s="3"/>
      <c r="Z140" s="3"/>
      <c r="AA140" s="3"/>
      <c r="AB140" s="3" t="s">
        <v>85</v>
      </c>
      <c r="AC140" s="3"/>
    </row>
    <row r="141" spans="1:29" hidden="1" x14ac:dyDescent="0.25">
      <c r="A141" s="3" t="s">
        <v>466</v>
      </c>
      <c r="B141" s="3"/>
      <c r="C141" s="3"/>
      <c r="D141" s="3"/>
      <c r="E141" s="3"/>
      <c r="F141" s="3" t="s">
        <v>91</v>
      </c>
      <c r="G141" s="3"/>
      <c r="H141" s="3"/>
      <c r="I141" s="3"/>
      <c r="J141" s="3"/>
      <c r="K141" s="3"/>
      <c r="L141" s="3"/>
      <c r="M141" s="3"/>
      <c r="N141" s="3" t="s">
        <v>94</v>
      </c>
      <c r="O141" s="3"/>
      <c r="P141" s="3"/>
      <c r="Q141" s="3"/>
      <c r="R141" s="3"/>
      <c r="S141" s="3"/>
      <c r="T141" s="3" t="s">
        <v>97</v>
      </c>
      <c r="U141" s="3"/>
      <c r="V141" s="3"/>
      <c r="W141" s="3"/>
      <c r="X141" s="3"/>
      <c r="Y141" s="3"/>
      <c r="Z141" s="3"/>
      <c r="AA141" s="3"/>
      <c r="AB141" s="3" t="s">
        <v>99</v>
      </c>
      <c r="AC141" s="3"/>
    </row>
    <row r="142" spans="1:29" hidden="1" x14ac:dyDescent="0.25">
      <c r="A142" s="3" t="s">
        <v>89</v>
      </c>
      <c r="B142" s="3"/>
      <c r="C142" s="3"/>
      <c r="D142" s="3"/>
      <c r="E142" s="3"/>
      <c r="F142" s="3" t="s">
        <v>92</v>
      </c>
      <c r="G142" s="3"/>
      <c r="H142" s="3"/>
      <c r="I142" s="3"/>
      <c r="J142" s="3"/>
      <c r="K142" s="3"/>
      <c r="L142" s="3"/>
      <c r="M142" s="3"/>
      <c r="N142" s="3" t="s">
        <v>95</v>
      </c>
      <c r="O142" s="3"/>
      <c r="P142" s="3"/>
      <c r="Q142" s="3"/>
      <c r="R142" s="3"/>
      <c r="S142" s="3"/>
      <c r="T142" s="3" t="s">
        <v>98</v>
      </c>
      <c r="U142" s="3"/>
      <c r="V142" s="3"/>
      <c r="W142" s="3"/>
      <c r="X142" s="3"/>
      <c r="Y142" s="3"/>
      <c r="Z142" s="3"/>
      <c r="AA142" s="3"/>
      <c r="AB142" s="3"/>
      <c r="AC142" s="3"/>
    </row>
    <row r="145" spans="1:29" ht="15.6" x14ac:dyDescent="0.3">
      <c r="A145" s="5"/>
      <c r="B145" s="15" t="s">
        <v>494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 t="s">
        <v>467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 t="s">
        <v>456</v>
      </c>
      <c r="AC145" s="5"/>
    </row>
    <row r="146" spans="1:29" ht="15.6" x14ac:dyDescent="0.3">
      <c r="A146" s="5"/>
      <c r="B146" s="15" t="s">
        <v>81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 t="s">
        <v>100</v>
      </c>
      <c r="AC146" s="5"/>
    </row>
    <row r="147" spans="1:29" ht="15.6" x14ac:dyDescent="0.3">
      <c r="A147" s="5"/>
      <c r="B147" s="15" t="s">
        <v>459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 t="s">
        <v>119</v>
      </c>
      <c r="AC147" s="5"/>
    </row>
    <row r="148" spans="1:29" ht="15.6" x14ac:dyDescent="0.3">
      <c r="A148" s="5"/>
      <c r="B148" s="15" t="s">
        <v>460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 t="s">
        <v>383</v>
      </c>
      <c r="AC148" s="5"/>
    </row>
    <row r="149" spans="1:29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 t="s">
        <v>104</v>
      </c>
      <c r="AC149" s="5"/>
    </row>
    <row r="150" spans="1:29" ht="15.6" x14ac:dyDescent="0.3">
      <c r="A150" s="5"/>
      <c r="B150" s="5"/>
      <c r="C150" s="5" t="s">
        <v>482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.6" x14ac:dyDescent="0.3">
      <c r="A151" s="57" t="s">
        <v>0</v>
      </c>
      <c r="B151" s="66" t="s">
        <v>469</v>
      </c>
      <c r="C151" s="60" t="s">
        <v>458</v>
      </c>
      <c r="D151" s="61"/>
      <c r="E151" s="62"/>
      <c r="F151" s="60" t="s">
        <v>1</v>
      </c>
      <c r="G151" s="61"/>
      <c r="H151" s="62"/>
      <c r="I151" s="60" t="s">
        <v>2</v>
      </c>
      <c r="J151" s="61"/>
      <c r="K151" s="62"/>
      <c r="L151" s="60" t="s">
        <v>8</v>
      </c>
      <c r="M151" s="61"/>
      <c r="N151" s="62"/>
      <c r="O151" s="60" t="s">
        <v>3</v>
      </c>
      <c r="P151" s="61"/>
      <c r="Q151" s="62"/>
      <c r="R151" s="31"/>
      <c r="S151" s="31" t="s">
        <v>4</v>
      </c>
      <c r="T151" s="31"/>
      <c r="U151" s="60" t="s">
        <v>5</v>
      </c>
      <c r="V151" s="61"/>
      <c r="W151" s="62"/>
      <c r="X151" s="57" t="s">
        <v>16</v>
      </c>
      <c r="Y151" s="57" t="s">
        <v>17</v>
      </c>
      <c r="Z151" s="57" t="s">
        <v>18</v>
      </c>
      <c r="AA151" s="57" t="s">
        <v>19</v>
      </c>
      <c r="AB151" s="57" t="s">
        <v>20</v>
      </c>
      <c r="AC151" s="57" t="s">
        <v>21</v>
      </c>
    </row>
    <row r="152" spans="1:29" ht="55.2" x14ac:dyDescent="0.25">
      <c r="A152" s="58"/>
      <c r="B152" s="67"/>
      <c r="C152" s="32" t="s">
        <v>6</v>
      </c>
      <c r="D152" s="32" t="s">
        <v>461</v>
      </c>
      <c r="E152" s="32" t="s">
        <v>7</v>
      </c>
      <c r="F152" s="32" t="s">
        <v>6</v>
      </c>
      <c r="G152" s="32" t="s">
        <v>461</v>
      </c>
      <c r="H152" s="32" t="s">
        <v>7</v>
      </c>
      <c r="I152" s="32" t="s">
        <v>6</v>
      </c>
      <c r="J152" s="32" t="s">
        <v>461</v>
      </c>
      <c r="K152" s="32" t="s">
        <v>7</v>
      </c>
      <c r="L152" s="32" t="s">
        <v>6</v>
      </c>
      <c r="M152" s="32" t="s">
        <v>461</v>
      </c>
      <c r="N152" s="32" t="s">
        <v>7</v>
      </c>
      <c r="O152" s="32" t="s">
        <v>6</v>
      </c>
      <c r="P152" s="32" t="s">
        <v>461</v>
      </c>
      <c r="Q152" s="32" t="s">
        <v>7</v>
      </c>
      <c r="R152" s="32" t="s">
        <v>6</v>
      </c>
      <c r="S152" s="32" t="s">
        <v>461</v>
      </c>
      <c r="T152" s="32" t="s">
        <v>7</v>
      </c>
      <c r="U152" s="32" t="s">
        <v>6</v>
      </c>
      <c r="V152" s="32" t="s">
        <v>461</v>
      </c>
      <c r="W152" s="32" t="s">
        <v>7</v>
      </c>
      <c r="X152" s="58"/>
      <c r="Y152" s="58"/>
      <c r="Z152" s="58"/>
      <c r="AA152" s="58"/>
      <c r="AB152" s="58"/>
      <c r="AC152" s="58"/>
    </row>
    <row r="153" spans="1:29" ht="15.6" x14ac:dyDescent="0.3">
      <c r="A153" s="59"/>
      <c r="B153" s="68"/>
      <c r="C153" s="33">
        <v>50</v>
      </c>
      <c r="D153" s="33">
        <v>50</v>
      </c>
      <c r="E153" s="33">
        <v>100</v>
      </c>
      <c r="F153" s="33">
        <v>50</v>
      </c>
      <c r="G153" s="33">
        <v>50</v>
      </c>
      <c r="H153" s="33">
        <v>100</v>
      </c>
      <c r="I153" s="33">
        <v>50</v>
      </c>
      <c r="J153" s="33">
        <v>50</v>
      </c>
      <c r="K153" s="33">
        <v>100</v>
      </c>
      <c r="L153" s="33">
        <v>50</v>
      </c>
      <c r="M153" s="33">
        <v>50</v>
      </c>
      <c r="N153" s="33">
        <v>100</v>
      </c>
      <c r="O153" s="33">
        <v>50</v>
      </c>
      <c r="P153" s="33">
        <v>50</v>
      </c>
      <c r="Q153" s="33">
        <v>100</v>
      </c>
      <c r="R153" s="33">
        <v>50</v>
      </c>
      <c r="S153" s="33">
        <v>50</v>
      </c>
      <c r="T153" s="33">
        <v>100</v>
      </c>
      <c r="U153" s="33">
        <v>50</v>
      </c>
      <c r="V153" s="33">
        <v>50</v>
      </c>
      <c r="W153" s="33">
        <v>100</v>
      </c>
      <c r="X153" s="59"/>
      <c r="Y153" s="59"/>
      <c r="Z153" s="59"/>
      <c r="AA153" s="59"/>
      <c r="AB153" s="59"/>
      <c r="AC153" s="59"/>
    </row>
    <row r="154" spans="1:29" ht="15.6" x14ac:dyDescent="0.3">
      <c r="A154" s="26">
        <v>1</v>
      </c>
      <c r="B154" s="29" t="s">
        <v>613</v>
      </c>
      <c r="C154" s="26">
        <v>50</v>
      </c>
      <c r="D154" s="26">
        <v>38</v>
      </c>
      <c r="E154" s="33">
        <f>SUM(C154:D154)</f>
        <v>88</v>
      </c>
      <c r="F154" s="26">
        <v>48</v>
      </c>
      <c r="G154" s="26">
        <v>47</v>
      </c>
      <c r="H154" s="33">
        <f t="shared" ref="H154:H173" si="32">SUM(F154:G154)</f>
        <v>95</v>
      </c>
      <c r="I154" s="26">
        <v>36</v>
      </c>
      <c r="J154" s="26">
        <v>30</v>
      </c>
      <c r="K154" s="33">
        <f t="shared" ref="K154:K173" si="33">SUM(I154:J154)</f>
        <v>66</v>
      </c>
      <c r="L154" s="26">
        <v>42</v>
      </c>
      <c r="M154" s="26">
        <v>41</v>
      </c>
      <c r="N154" s="33">
        <f t="shared" ref="N154:N173" si="34">SUM(L154:M154)</f>
        <v>83</v>
      </c>
      <c r="O154" s="26">
        <v>33</v>
      </c>
      <c r="P154" s="26">
        <v>35</v>
      </c>
      <c r="Q154" s="33">
        <f t="shared" ref="Q154:Q173" si="35">SUM(O154:P154)</f>
        <v>68</v>
      </c>
      <c r="R154" s="26">
        <v>39</v>
      </c>
      <c r="S154" s="26">
        <v>40</v>
      </c>
      <c r="T154" s="33">
        <f t="shared" ref="T154:T173" si="36">SUM(R154:S154)</f>
        <v>79</v>
      </c>
      <c r="U154" s="26">
        <v>43</v>
      </c>
      <c r="V154" s="26">
        <v>35</v>
      </c>
      <c r="W154" s="33">
        <f t="shared" ref="W154:W173" si="37">SUM(U154:V154)</f>
        <v>78</v>
      </c>
      <c r="X154" s="26"/>
      <c r="Y154" s="26"/>
      <c r="Z154" s="26"/>
      <c r="AA154" s="33">
        <f>SUM(W154,T154,Q154,N154,K154,H154,E154)</f>
        <v>557</v>
      </c>
      <c r="AB154" s="26" t="s">
        <v>117</v>
      </c>
      <c r="AC154" s="29"/>
    </row>
    <row r="155" spans="1:29" ht="15.6" x14ac:dyDescent="0.3">
      <c r="A155" s="26">
        <v>2</v>
      </c>
      <c r="B155" s="29" t="s">
        <v>278</v>
      </c>
      <c r="C155" s="26">
        <v>47</v>
      </c>
      <c r="D155" s="26">
        <v>50</v>
      </c>
      <c r="E155" s="33">
        <f>SUM(C155:D155)</f>
        <v>97</v>
      </c>
      <c r="F155" s="26">
        <v>49</v>
      </c>
      <c r="G155" s="26">
        <v>42</v>
      </c>
      <c r="H155" s="33">
        <f t="shared" si="32"/>
        <v>91</v>
      </c>
      <c r="I155" s="26">
        <v>36</v>
      </c>
      <c r="J155" s="26">
        <v>28</v>
      </c>
      <c r="K155" s="33">
        <f t="shared" si="33"/>
        <v>64</v>
      </c>
      <c r="L155" s="26">
        <v>46</v>
      </c>
      <c r="M155" s="26">
        <v>45</v>
      </c>
      <c r="N155" s="33">
        <f t="shared" si="34"/>
        <v>91</v>
      </c>
      <c r="O155" s="26">
        <v>25</v>
      </c>
      <c r="P155" s="26">
        <v>38</v>
      </c>
      <c r="Q155" s="33">
        <f t="shared" si="35"/>
        <v>63</v>
      </c>
      <c r="R155" s="26">
        <v>38</v>
      </c>
      <c r="S155" s="26">
        <v>40</v>
      </c>
      <c r="T155" s="33">
        <f t="shared" si="36"/>
        <v>78</v>
      </c>
      <c r="U155" s="26">
        <v>42</v>
      </c>
      <c r="V155" s="26">
        <v>30</v>
      </c>
      <c r="W155" s="33">
        <f t="shared" si="37"/>
        <v>72</v>
      </c>
      <c r="X155" s="26"/>
      <c r="Y155" s="26"/>
      <c r="Z155" s="26"/>
      <c r="AA155" s="33">
        <f>SUM(W155,T155,Q155,N155,K155,H155,E155)</f>
        <v>556</v>
      </c>
      <c r="AB155" s="26" t="s">
        <v>117</v>
      </c>
      <c r="AC155" s="29"/>
    </row>
    <row r="156" spans="1:29" ht="15.6" x14ac:dyDescent="0.3">
      <c r="A156" s="26">
        <v>3</v>
      </c>
      <c r="B156" s="29" t="s">
        <v>279</v>
      </c>
      <c r="C156" s="26">
        <v>50</v>
      </c>
      <c r="D156" s="26">
        <v>50</v>
      </c>
      <c r="E156" s="33">
        <f>SUM(C156:D156)</f>
        <v>100</v>
      </c>
      <c r="F156" s="26">
        <v>50</v>
      </c>
      <c r="G156" s="26">
        <v>50</v>
      </c>
      <c r="H156" s="33">
        <f t="shared" si="32"/>
        <v>100</v>
      </c>
      <c r="I156" s="26">
        <v>47</v>
      </c>
      <c r="J156" s="26">
        <v>50</v>
      </c>
      <c r="K156" s="33">
        <f t="shared" si="33"/>
        <v>97</v>
      </c>
      <c r="L156" s="26">
        <v>49</v>
      </c>
      <c r="M156" s="26">
        <v>48</v>
      </c>
      <c r="N156" s="33">
        <f t="shared" si="34"/>
        <v>97</v>
      </c>
      <c r="O156" s="26">
        <v>45</v>
      </c>
      <c r="P156" s="26">
        <v>45</v>
      </c>
      <c r="Q156" s="33">
        <v>95</v>
      </c>
      <c r="R156" s="26">
        <v>49</v>
      </c>
      <c r="S156" s="26">
        <v>46</v>
      </c>
      <c r="T156" s="33">
        <f t="shared" si="36"/>
        <v>95</v>
      </c>
      <c r="U156" s="26">
        <v>49</v>
      </c>
      <c r="V156" s="26">
        <v>50</v>
      </c>
      <c r="W156" s="33">
        <f t="shared" si="37"/>
        <v>99</v>
      </c>
      <c r="X156" s="26"/>
      <c r="Y156" s="26"/>
      <c r="Z156" s="26"/>
      <c r="AA156" s="33">
        <f>SUM(W156,T156,Q156,N156,K156,H156,E156)</f>
        <v>683</v>
      </c>
      <c r="AB156" s="26" t="s">
        <v>117</v>
      </c>
      <c r="AC156" s="29"/>
    </row>
    <row r="157" spans="1:29" ht="15.6" x14ac:dyDescent="0.3">
      <c r="A157" s="26">
        <v>4</v>
      </c>
      <c r="B157" s="29" t="s">
        <v>614</v>
      </c>
      <c r="C157" s="26">
        <v>32</v>
      </c>
      <c r="D157" s="26">
        <v>29</v>
      </c>
      <c r="E157" s="33">
        <f>SUM(C157:D157)</f>
        <v>61</v>
      </c>
      <c r="F157" s="26">
        <v>27</v>
      </c>
      <c r="G157" s="26">
        <v>31</v>
      </c>
      <c r="H157" s="33">
        <f t="shared" si="32"/>
        <v>58</v>
      </c>
      <c r="I157" s="26">
        <v>31</v>
      </c>
      <c r="J157" s="26">
        <v>25</v>
      </c>
      <c r="K157" s="33">
        <f t="shared" si="33"/>
        <v>56</v>
      </c>
      <c r="L157" s="26">
        <v>37</v>
      </c>
      <c r="M157" s="26">
        <v>29</v>
      </c>
      <c r="N157" s="33">
        <f t="shared" si="34"/>
        <v>66</v>
      </c>
      <c r="O157" s="26">
        <v>25</v>
      </c>
      <c r="P157" s="26">
        <v>27</v>
      </c>
      <c r="Q157" s="33">
        <f t="shared" si="35"/>
        <v>52</v>
      </c>
      <c r="R157" s="26">
        <v>28</v>
      </c>
      <c r="S157" s="26">
        <v>34</v>
      </c>
      <c r="T157" s="33">
        <f t="shared" si="36"/>
        <v>62</v>
      </c>
      <c r="U157" s="26">
        <v>27</v>
      </c>
      <c r="V157" s="26">
        <v>27</v>
      </c>
      <c r="W157" s="33">
        <f t="shared" si="37"/>
        <v>54</v>
      </c>
      <c r="X157" s="26"/>
      <c r="Y157" s="26"/>
      <c r="Z157" s="26"/>
      <c r="AA157" s="33">
        <f>SUM(W157,T157,Q157,N157,K157,H157,E157)</f>
        <v>409</v>
      </c>
      <c r="AB157" s="26" t="s">
        <v>117</v>
      </c>
      <c r="AC157" s="29"/>
    </row>
    <row r="158" spans="1:29" ht="15.6" x14ac:dyDescent="0.3">
      <c r="A158" s="26">
        <v>5</v>
      </c>
      <c r="B158" s="29" t="s">
        <v>280</v>
      </c>
      <c r="C158" s="26">
        <v>27</v>
      </c>
      <c r="D158" s="26">
        <v>23</v>
      </c>
      <c r="E158" s="33">
        <f t="shared" ref="E158:E173" si="38">SUM(C158:D158)</f>
        <v>50</v>
      </c>
      <c r="F158" s="26">
        <v>29</v>
      </c>
      <c r="G158" s="26">
        <v>21</v>
      </c>
      <c r="H158" s="33">
        <f t="shared" si="32"/>
        <v>50</v>
      </c>
      <c r="I158" s="26">
        <v>25</v>
      </c>
      <c r="J158" s="26">
        <v>25</v>
      </c>
      <c r="K158" s="33">
        <f t="shared" si="33"/>
        <v>50</v>
      </c>
      <c r="L158" s="26">
        <v>25</v>
      </c>
      <c r="M158" s="26">
        <v>25</v>
      </c>
      <c r="N158" s="33">
        <f t="shared" si="34"/>
        <v>50</v>
      </c>
      <c r="O158" s="26">
        <v>23</v>
      </c>
      <c r="P158" s="26">
        <v>27</v>
      </c>
      <c r="Q158" s="33">
        <f t="shared" si="35"/>
        <v>50</v>
      </c>
      <c r="R158" s="26">
        <v>21</v>
      </c>
      <c r="S158" s="26">
        <v>31</v>
      </c>
      <c r="T158" s="33">
        <f t="shared" si="36"/>
        <v>52</v>
      </c>
      <c r="U158" s="26">
        <v>25</v>
      </c>
      <c r="V158" s="26">
        <v>25</v>
      </c>
      <c r="W158" s="33">
        <f t="shared" si="37"/>
        <v>50</v>
      </c>
      <c r="X158" s="26"/>
      <c r="Y158" s="26"/>
      <c r="Z158" s="26"/>
      <c r="AA158" s="33">
        <f t="shared" ref="AA158:AA173" si="39">SUM(W158,T158,Q158,N158,K158,H158,E158)</f>
        <v>352</v>
      </c>
      <c r="AB158" s="26" t="s">
        <v>117</v>
      </c>
      <c r="AC158" s="29"/>
    </row>
    <row r="159" spans="1:29" ht="15.6" x14ac:dyDescent="0.3">
      <c r="A159" s="26">
        <v>6</v>
      </c>
      <c r="B159" s="29" t="s">
        <v>281</v>
      </c>
      <c r="C159" s="26">
        <v>27</v>
      </c>
      <c r="D159" s="26">
        <v>25</v>
      </c>
      <c r="E159" s="33">
        <f t="shared" si="38"/>
        <v>52</v>
      </c>
      <c r="F159" s="26">
        <v>39</v>
      </c>
      <c r="G159" s="26">
        <v>28</v>
      </c>
      <c r="H159" s="33">
        <f t="shared" si="32"/>
        <v>67</v>
      </c>
      <c r="I159" s="26">
        <v>32</v>
      </c>
      <c r="J159" s="26">
        <v>25</v>
      </c>
      <c r="K159" s="33">
        <f t="shared" si="33"/>
        <v>57</v>
      </c>
      <c r="L159" s="26">
        <v>25</v>
      </c>
      <c r="M159" s="26">
        <v>29</v>
      </c>
      <c r="N159" s="33">
        <f t="shared" si="34"/>
        <v>54</v>
      </c>
      <c r="O159" s="26">
        <v>28</v>
      </c>
      <c r="P159" s="26">
        <v>25</v>
      </c>
      <c r="Q159" s="33">
        <f t="shared" si="35"/>
        <v>53</v>
      </c>
      <c r="R159" s="26">
        <v>30</v>
      </c>
      <c r="S159" s="26">
        <v>35</v>
      </c>
      <c r="T159" s="33">
        <f t="shared" si="36"/>
        <v>65</v>
      </c>
      <c r="U159" s="26">
        <v>32</v>
      </c>
      <c r="V159" s="26">
        <v>32</v>
      </c>
      <c r="W159" s="33">
        <f t="shared" si="37"/>
        <v>64</v>
      </c>
      <c r="X159" s="26"/>
      <c r="Y159" s="26"/>
      <c r="Z159" s="26"/>
      <c r="AA159" s="33">
        <f t="shared" si="39"/>
        <v>412</v>
      </c>
      <c r="AB159" s="26" t="s">
        <v>117</v>
      </c>
      <c r="AC159" s="29"/>
    </row>
    <row r="160" spans="1:29" ht="15.6" x14ac:dyDescent="0.3">
      <c r="A160" s="26">
        <v>7</v>
      </c>
      <c r="B160" s="29" t="s">
        <v>282</v>
      </c>
      <c r="C160" s="26">
        <v>47</v>
      </c>
      <c r="D160" s="26">
        <v>35</v>
      </c>
      <c r="E160" s="33">
        <f t="shared" si="38"/>
        <v>82</v>
      </c>
      <c r="F160" s="26">
        <v>44</v>
      </c>
      <c r="G160" s="26">
        <v>41</v>
      </c>
      <c r="H160" s="33">
        <f t="shared" si="32"/>
        <v>85</v>
      </c>
      <c r="I160" s="26">
        <v>35</v>
      </c>
      <c r="J160" s="26">
        <v>42</v>
      </c>
      <c r="K160" s="33">
        <f t="shared" si="33"/>
        <v>77</v>
      </c>
      <c r="L160" s="26">
        <v>26</v>
      </c>
      <c r="M160" s="26">
        <v>33</v>
      </c>
      <c r="N160" s="33">
        <f t="shared" si="34"/>
        <v>59</v>
      </c>
      <c r="O160" s="26">
        <v>25</v>
      </c>
      <c r="P160" s="26">
        <v>43</v>
      </c>
      <c r="Q160" s="33">
        <f t="shared" si="35"/>
        <v>68</v>
      </c>
      <c r="R160" s="26">
        <v>37</v>
      </c>
      <c r="S160" s="26">
        <v>42</v>
      </c>
      <c r="T160" s="33">
        <f t="shared" si="36"/>
        <v>79</v>
      </c>
      <c r="U160" s="26">
        <v>39</v>
      </c>
      <c r="V160" s="26">
        <v>32</v>
      </c>
      <c r="W160" s="33">
        <f t="shared" si="37"/>
        <v>71</v>
      </c>
      <c r="X160" s="26"/>
      <c r="Y160" s="26"/>
      <c r="Z160" s="26"/>
      <c r="AA160" s="33">
        <f t="shared" si="39"/>
        <v>521</v>
      </c>
      <c r="AB160" s="26" t="s">
        <v>117</v>
      </c>
      <c r="AC160" s="29"/>
    </row>
    <row r="161" spans="1:29" ht="15.6" x14ac:dyDescent="0.3">
      <c r="A161" s="26">
        <v>8</v>
      </c>
      <c r="B161" s="29" t="s">
        <v>283</v>
      </c>
      <c r="C161" s="26">
        <v>48</v>
      </c>
      <c r="D161" s="26">
        <v>45</v>
      </c>
      <c r="E161" s="33">
        <f t="shared" si="38"/>
        <v>93</v>
      </c>
      <c r="F161" s="26">
        <v>46</v>
      </c>
      <c r="G161" s="26">
        <v>32</v>
      </c>
      <c r="H161" s="33">
        <f t="shared" si="32"/>
        <v>78</v>
      </c>
      <c r="I161" s="26">
        <v>27</v>
      </c>
      <c r="J161" s="26">
        <v>38</v>
      </c>
      <c r="K161" s="33">
        <f t="shared" si="33"/>
        <v>65</v>
      </c>
      <c r="L161" s="26">
        <v>35</v>
      </c>
      <c r="M161" s="26">
        <v>34</v>
      </c>
      <c r="N161" s="33">
        <f t="shared" si="34"/>
        <v>69</v>
      </c>
      <c r="O161" s="26">
        <v>33</v>
      </c>
      <c r="P161" s="26">
        <v>26</v>
      </c>
      <c r="Q161" s="33">
        <f t="shared" si="35"/>
        <v>59</v>
      </c>
      <c r="R161" s="26">
        <v>38</v>
      </c>
      <c r="S161" s="26">
        <v>40</v>
      </c>
      <c r="T161" s="33">
        <f t="shared" si="36"/>
        <v>78</v>
      </c>
      <c r="U161" s="26">
        <v>40</v>
      </c>
      <c r="V161" s="26">
        <v>32</v>
      </c>
      <c r="W161" s="33">
        <f t="shared" si="37"/>
        <v>72</v>
      </c>
      <c r="X161" s="26"/>
      <c r="Y161" s="26"/>
      <c r="Z161" s="26"/>
      <c r="AA161" s="33">
        <f t="shared" si="39"/>
        <v>514</v>
      </c>
      <c r="AB161" s="26" t="s">
        <v>117</v>
      </c>
      <c r="AC161" s="29"/>
    </row>
    <row r="162" spans="1:29" ht="15.6" x14ac:dyDescent="0.3">
      <c r="A162" s="26">
        <v>9</v>
      </c>
      <c r="B162" s="29" t="s">
        <v>284</v>
      </c>
      <c r="C162" s="26">
        <v>43</v>
      </c>
      <c r="D162" s="26">
        <v>43</v>
      </c>
      <c r="E162" s="33">
        <f t="shared" si="38"/>
        <v>86</v>
      </c>
      <c r="F162" s="26">
        <v>49</v>
      </c>
      <c r="G162" s="26">
        <v>42</v>
      </c>
      <c r="H162" s="33">
        <f t="shared" si="32"/>
        <v>91</v>
      </c>
      <c r="I162" s="26">
        <v>40</v>
      </c>
      <c r="J162" s="26">
        <v>48</v>
      </c>
      <c r="K162" s="33">
        <f t="shared" si="33"/>
        <v>88</v>
      </c>
      <c r="L162" s="26">
        <v>45</v>
      </c>
      <c r="M162" s="26">
        <v>38</v>
      </c>
      <c r="N162" s="33">
        <f t="shared" si="34"/>
        <v>83</v>
      </c>
      <c r="O162" s="26">
        <v>46</v>
      </c>
      <c r="P162" s="26">
        <v>36</v>
      </c>
      <c r="Q162" s="33">
        <f t="shared" si="35"/>
        <v>82</v>
      </c>
      <c r="R162" s="26">
        <v>43</v>
      </c>
      <c r="S162" s="26">
        <v>46</v>
      </c>
      <c r="T162" s="33">
        <f t="shared" si="36"/>
        <v>89</v>
      </c>
      <c r="U162" s="26">
        <v>41</v>
      </c>
      <c r="V162" s="26">
        <v>45</v>
      </c>
      <c r="W162" s="33">
        <f t="shared" si="37"/>
        <v>86</v>
      </c>
      <c r="X162" s="26"/>
      <c r="Y162" s="26"/>
      <c r="Z162" s="26"/>
      <c r="AA162" s="33">
        <f t="shared" si="39"/>
        <v>605</v>
      </c>
      <c r="AB162" s="26" t="s">
        <v>117</v>
      </c>
      <c r="AC162" s="29"/>
    </row>
    <row r="163" spans="1:29" ht="15.6" x14ac:dyDescent="0.3">
      <c r="A163" s="26">
        <v>10</v>
      </c>
      <c r="B163" s="29" t="s">
        <v>285</v>
      </c>
      <c r="C163" s="26">
        <v>45</v>
      </c>
      <c r="D163" s="26">
        <v>47</v>
      </c>
      <c r="E163" s="33">
        <f t="shared" si="38"/>
        <v>92</v>
      </c>
      <c r="F163" s="26">
        <v>48</v>
      </c>
      <c r="G163" s="26">
        <v>41</v>
      </c>
      <c r="H163" s="33">
        <f t="shared" si="32"/>
        <v>89</v>
      </c>
      <c r="I163" s="26">
        <v>35</v>
      </c>
      <c r="J163" s="26">
        <v>44</v>
      </c>
      <c r="K163" s="33">
        <f t="shared" si="33"/>
        <v>79</v>
      </c>
      <c r="L163" s="26">
        <v>43</v>
      </c>
      <c r="M163" s="26">
        <v>44</v>
      </c>
      <c r="N163" s="33">
        <f t="shared" si="34"/>
        <v>87</v>
      </c>
      <c r="O163" s="26">
        <v>38</v>
      </c>
      <c r="P163" s="26">
        <v>45</v>
      </c>
      <c r="Q163" s="33">
        <f t="shared" si="35"/>
        <v>83</v>
      </c>
      <c r="R163" s="26">
        <v>34</v>
      </c>
      <c r="S163" s="26">
        <v>47</v>
      </c>
      <c r="T163" s="33">
        <f t="shared" si="36"/>
        <v>81</v>
      </c>
      <c r="U163" s="26">
        <v>40</v>
      </c>
      <c r="V163" s="26">
        <v>27</v>
      </c>
      <c r="W163" s="33">
        <f t="shared" si="37"/>
        <v>67</v>
      </c>
      <c r="X163" s="26"/>
      <c r="Y163" s="26"/>
      <c r="Z163" s="26"/>
      <c r="AA163" s="33">
        <f t="shared" si="39"/>
        <v>578</v>
      </c>
      <c r="AB163" s="26" t="s">
        <v>117</v>
      </c>
      <c r="AC163" s="29"/>
    </row>
    <row r="164" spans="1:29" ht="15.6" x14ac:dyDescent="0.3">
      <c r="A164" s="26">
        <v>11</v>
      </c>
      <c r="B164" s="29" t="s">
        <v>286</v>
      </c>
      <c r="C164" s="26">
        <v>37</v>
      </c>
      <c r="D164" s="26">
        <v>29</v>
      </c>
      <c r="E164" s="33">
        <f t="shared" si="38"/>
        <v>66</v>
      </c>
      <c r="F164" s="26">
        <v>43</v>
      </c>
      <c r="G164" s="26">
        <v>31</v>
      </c>
      <c r="H164" s="33">
        <f t="shared" si="32"/>
        <v>74</v>
      </c>
      <c r="I164" s="26">
        <v>28</v>
      </c>
      <c r="J164" s="26">
        <v>26</v>
      </c>
      <c r="K164" s="33">
        <f t="shared" si="33"/>
        <v>54</v>
      </c>
      <c r="L164" s="26">
        <v>40</v>
      </c>
      <c r="M164" s="26">
        <v>42</v>
      </c>
      <c r="N164" s="33">
        <f t="shared" si="34"/>
        <v>82</v>
      </c>
      <c r="O164" s="26">
        <v>29</v>
      </c>
      <c r="P164" s="26">
        <v>28</v>
      </c>
      <c r="Q164" s="33">
        <f t="shared" si="35"/>
        <v>57</v>
      </c>
      <c r="R164" s="26">
        <v>36</v>
      </c>
      <c r="S164" s="26">
        <v>25</v>
      </c>
      <c r="T164" s="33">
        <f t="shared" si="36"/>
        <v>61</v>
      </c>
      <c r="U164" s="26">
        <v>34</v>
      </c>
      <c r="V164" s="26">
        <v>27</v>
      </c>
      <c r="W164" s="33">
        <f t="shared" si="37"/>
        <v>61</v>
      </c>
      <c r="X164" s="26"/>
      <c r="Y164" s="26"/>
      <c r="Z164" s="26"/>
      <c r="AA164" s="33">
        <v>455</v>
      </c>
      <c r="AB164" s="26" t="s">
        <v>117</v>
      </c>
      <c r="AC164" s="29"/>
    </row>
    <row r="165" spans="1:29" ht="15.6" x14ac:dyDescent="0.3">
      <c r="A165" s="26">
        <v>12</v>
      </c>
      <c r="B165" s="29" t="s">
        <v>287</v>
      </c>
      <c r="C165" s="26">
        <v>50</v>
      </c>
      <c r="D165" s="26">
        <v>50</v>
      </c>
      <c r="E165" s="33">
        <f t="shared" si="38"/>
        <v>100</v>
      </c>
      <c r="F165" s="26">
        <v>50</v>
      </c>
      <c r="G165" s="26">
        <v>50</v>
      </c>
      <c r="H165" s="33">
        <f t="shared" si="32"/>
        <v>100</v>
      </c>
      <c r="I165" s="26">
        <v>50</v>
      </c>
      <c r="J165" s="26">
        <v>50</v>
      </c>
      <c r="K165" s="33">
        <f t="shared" si="33"/>
        <v>100</v>
      </c>
      <c r="L165" s="26">
        <v>49</v>
      </c>
      <c r="M165" s="26">
        <v>50</v>
      </c>
      <c r="N165" s="33">
        <f t="shared" si="34"/>
        <v>99</v>
      </c>
      <c r="O165" s="26">
        <v>49</v>
      </c>
      <c r="P165" s="26">
        <v>50</v>
      </c>
      <c r="Q165" s="33">
        <f t="shared" si="35"/>
        <v>99</v>
      </c>
      <c r="R165" s="26">
        <v>50</v>
      </c>
      <c r="S165" s="26">
        <v>48</v>
      </c>
      <c r="T165" s="33">
        <f t="shared" si="36"/>
        <v>98</v>
      </c>
      <c r="U165" s="26">
        <v>50</v>
      </c>
      <c r="V165" s="26">
        <v>50</v>
      </c>
      <c r="W165" s="33">
        <f t="shared" si="37"/>
        <v>100</v>
      </c>
      <c r="X165" s="26"/>
      <c r="Y165" s="26"/>
      <c r="Z165" s="26"/>
      <c r="AA165" s="33">
        <f t="shared" si="39"/>
        <v>696</v>
      </c>
      <c r="AB165" s="26" t="s">
        <v>117</v>
      </c>
      <c r="AC165" s="29"/>
    </row>
    <row r="166" spans="1:29" ht="15.6" x14ac:dyDescent="0.3">
      <c r="A166" s="26">
        <v>13</v>
      </c>
      <c r="B166" s="29" t="s">
        <v>615</v>
      </c>
      <c r="C166" s="26">
        <v>24</v>
      </c>
      <c r="D166" s="26">
        <v>26</v>
      </c>
      <c r="E166" s="33">
        <f t="shared" si="38"/>
        <v>50</v>
      </c>
      <c r="F166" s="26">
        <v>27</v>
      </c>
      <c r="G166" s="26">
        <v>23</v>
      </c>
      <c r="H166" s="33">
        <f t="shared" si="32"/>
        <v>50</v>
      </c>
      <c r="I166" s="26">
        <v>25</v>
      </c>
      <c r="J166" s="26">
        <v>25</v>
      </c>
      <c r="K166" s="33">
        <f t="shared" si="33"/>
        <v>50</v>
      </c>
      <c r="L166" s="26">
        <v>29</v>
      </c>
      <c r="M166" s="26">
        <v>21</v>
      </c>
      <c r="N166" s="33">
        <f t="shared" si="34"/>
        <v>50</v>
      </c>
      <c r="O166" s="26">
        <v>24</v>
      </c>
      <c r="P166" s="26">
        <v>26</v>
      </c>
      <c r="Q166" s="33">
        <f t="shared" si="35"/>
        <v>50</v>
      </c>
      <c r="R166" s="26">
        <v>28</v>
      </c>
      <c r="S166" s="26">
        <v>25</v>
      </c>
      <c r="T166" s="33">
        <f t="shared" si="36"/>
        <v>53</v>
      </c>
      <c r="U166" s="26">
        <v>25</v>
      </c>
      <c r="V166" s="26">
        <v>25</v>
      </c>
      <c r="W166" s="33">
        <f t="shared" si="37"/>
        <v>50</v>
      </c>
      <c r="X166" s="26"/>
      <c r="Y166" s="26"/>
      <c r="Z166" s="26"/>
      <c r="AA166" s="33">
        <f t="shared" si="39"/>
        <v>353</v>
      </c>
      <c r="AB166" s="26" t="s">
        <v>117</v>
      </c>
      <c r="AC166" s="29"/>
    </row>
    <row r="167" spans="1:29" ht="15.6" x14ac:dyDescent="0.3">
      <c r="A167" s="26">
        <v>14</v>
      </c>
      <c r="B167" s="29" t="s">
        <v>288</v>
      </c>
      <c r="C167" s="26">
        <v>45</v>
      </c>
      <c r="D167" s="26">
        <v>38</v>
      </c>
      <c r="E167" s="33">
        <f t="shared" si="38"/>
        <v>83</v>
      </c>
      <c r="F167" s="26">
        <v>49</v>
      </c>
      <c r="G167" s="26">
        <v>47</v>
      </c>
      <c r="H167" s="33">
        <f t="shared" si="32"/>
        <v>96</v>
      </c>
      <c r="I167" s="26">
        <v>41</v>
      </c>
      <c r="J167" s="26">
        <v>43</v>
      </c>
      <c r="K167" s="33">
        <f t="shared" si="33"/>
        <v>84</v>
      </c>
      <c r="L167" s="26">
        <v>46</v>
      </c>
      <c r="M167" s="26">
        <v>28</v>
      </c>
      <c r="N167" s="33">
        <f t="shared" si="34"/>
        <v>74</v>
      </c>
      <c r="O167" s="26">
        <v>31</v>
      </c>
      <c r="P167" s="26">
        <v>44</v>
      </c>
      <c r="Q167" s="33">
        <f t="shared" si="35"/>
        <v>75</v>
      </c>
      <c r="R167" s="26">
        <v>37</v>
      </c>
      <c r="S167" s="26">
        <v>43</v>
      </c>
      <c r="T167" s="33">
        <f t="shared" si="36"/>
        <v>80</v>
      </c>
      <c r="U167" s="26">
        <v>37</v>
      </c>
      <c r="V167" s="26">
        <v>31</v>
      </c>
      <c r="W167" s="33">
        <f t="shared" si="37"/>
        <v>68</v>
      </c>
      <c r="X167" s="26"/>
      <c r="Y167" s="26"/>
      <c r="Z167" s="26"/>
      <c r="AA167" s="33">
        <f t="shared" si="39"/>
        <v>560</v>
      </c>
      <c r="AB167" s="26" t="s">
        <v>117</v>
      </c>
      <c r="AC167" s="29"/>
    </row>
    <row r="168" spans="1:29" ht="15.6" x14ac:dyDescent="0.3">
      <c r="A168" s="26">
        <v>15</v>
      </c>
      <c r="B168" s="29" t="s">
        <v>616</v>
      </c>
      <c r="C168" s="26">
        <v>24</v>
      </c>
      <c r="D168" s="26">
        <v>26</v>
      </c>
      <c r="E168" s="33">
        <f t="shared" si="38"/>
        <v>50</v>
      </c>
      <c r="F168" s="26">
        <v>27</v>
      </c>
      <c r="G168" s="26">
        <v>23</v>
      </c>
      <c r="H168" s="33">
        <f t="shared" si="32"/>
        <v>50</v>
      </c>
      <c r="I168" s="26">
        <v>25</v>
      </c>
      <c r="J168" s="26">
        <v>25</v>
      </c>
      <c r="K168" s="33">
        <f t="shared" si="33"/>
        <v>50</v>
      </c>
      <c r="L168" s="26">
        <v>25</v>
      </c>
      <c r="M168" s="26">
        <v>25</v>
      </c>
      <c r="N168" s="33">
        <f t="shared" si="34"/>
        <v>50</v>
      </c>
      <c r="O168" s="26">
        <v>29</v>
      </c>
      <c r="P168" s="26">
        <v>26</v>
      </c>
      <c r="Q168" s="33">
        <f t="shared" si="35"/>
        <v>55</v>
      </c>
      <c r="R168" s="26">
        <v>26</v>
      </c>
      <c r="S168" s="26">
        <v>24</v>
      </c>
      <c r="T168" s="33">
        <f t="shared" si="36"/>
        <v>50</v>
      </c>
      <c r="U168" s="26">
        <v>29</v>
      </c>
      <c r="V168" s="26">
        <v>21</v>
      </c>
      <c r="W168" s="33">
        <f t="shared" si="37"/>
        <v>50</v>
      </c>
      <c r="X168" s="26"/>
      <c r="Y168" s="26"/>
      <c r="Z168" s="26"/>
      <c r="AA168" s="33">
        <f t="shared" si="39"/>
        <v>355</v>
      </c>
      <c r="AB168" s="26" t="s">
        <v>117</v>
      </c>
      <c r="AC168" s="29"/>
    </row>
    <row r="169" spans="1:29" ht="15.6" x14ac:dyDescent="0.3">
      <c r="A169" s="26">
        <v>16</v>
      </c>
      <c r="B169" s="29" t="s">
        <v>617</v>
      </c>
      <c r="C169" s="26">
        <v>21</v>
      </c>
      <c r="D169" s="26">
        <v>29</v>
      </c>
      <c r="E169" s="33">
        <f t="shared" si="38"/>
        <v>50</v>
      </c>
      <c r="F169" s="26">
        <v>25</v>
      </c>
      <c r="G169" s="26">
        <v>30</v>
      </c>
      <c r="H169" s="33">
        <f t="shared" si="32"/>
        <v>55</v>
      </c>
      <c r="I169" s="26">
        <v>26</v>
      </c>
      <c r="J169" s="26">
        <v>25</v>
      </c>
      <c r="K169" s="33">
        <f t="shared" si="33"/>
        <v>51</v>
      </c>
      <c r="L169" s="26">
        <v>28</v>
      </c>
      <c r="M169" s="26">
        <v>26</v>
      </c>
      <c r="N169" s="33">
        <f t="shared" si="34"/>
        <v>54</v>
      </c>
      <c r="O169" s="26">
        <v>25</v>
      </c>
      <c r="P169" s="26">
        <v>25</v>
      </c>
      <c r="Q169" s="33">
        <f t="shared" si="35"/>
        <v>50</v>
      </c>
      <c r="R169" s="26">
        <v>32</v>
      </c>
      <c r="S169" s="26">
        <v>23</v>
      </c>
      <c r="T169" s="33">
        <f t="shared" si="36"/>
        <v>55</v>
      </c>
      <c r="U169" s="26">
        <v>19</v>
      </c>
      <c r="V169" s="26">
        <v>33</v>
      </c>
      <c r="W169" s="33">
        <f t="shared" si="37"/>
        <v>52</v>
      </c>
      <c r="X169" s="26"/>
      <c r="Y169" s="26"/>
      <c r="Z169" s="26"/>
      <c r="AA169" s="33">
        <f t="shared" si="39"/>
        <v>367</v>
      </c>
      <c r="AB169" s="26" t="s">
        <v>117</v>
      </c>
      <c r="AC169" s="29"/>
    </row>
    <row r="170" spans="1:29" ht="15.6" x14ac:dyDescent="0.3">
      <c r="A170" s="26">
        <v>17</v>
      </c>
      <c r="B170" s="29" t="s">
        <v>618</v>
      </c>
      <c r="C170" s="26">
        <v>23</v>
      </c>
      <c r="D170" s="26">
        <v>27</v>
      </c>
      <c r="E170" s="33">
        <f t="shared" si="38"/>
        <v>50</v>
      </c>
      <c r="F170" s="26">
        <v>31</v>
      </c>
      <c r="G170" s="26">
        <v>31</v>
      </c>
      <c r="H170" s="33">
        <f t="shared" si="32"/>
        <v>62</v>
      </c>
      <c r="I170" s="26">
        <v>25</v>
      </c>
      <c r="J170" s="26">
        <v>25</v>
      </c>
      <c r="K170" s="33">
        <f t="shared" si="33"/>
        <v>50</v>
      </c>
      <c r="L170" s="26">
        <v>25</v>
      </c>
      <c r="M170" s="26">
        <v>25</v>
      </c>
      <c r="N170" s="33">
        <f t="shared" si="34"/>
        <v>50</v>
      </c>
      <c r="O170" s="26">
        <v>25</v>
      </c>
      <c r="P170" s="26">
        <v>25</v>
      </c>
      <c r="Q170" s="33">
        <f t="shared" si="35"/>
        <v>50</v>
      </c>
      <c r="R170" s="26">
        <v>29</v>
      </c>
      <c r="S170" s="26">
        <v>26</v>
      </c>
      <c r="T170" s="33">
        <f t="shared" si="36"/>
        <v>55</v>
      </c>
      <c r="U170" s="26">
        <v>25</v>
      </c>
      <c r="V170" s="26">
        <v>25</v>
      </c>
      <c r="W170" s="33">
        <f t="shared" si="37"/>
        <v>50</v>
      </c>
      <c r="X170" s="26"/>
      <c r="Y170" s="26"/>
      <c r="Z170" s="26"/>
      <c r="AA170" s="33">
        <f t="shared" si="39"/>
        <v>367</v>
      </c>
      <c r="AB170" s="26" t="s">
        <v>117</v>
      </c>
      <c r="AC170" s="29"/>
    </row>
    <row r="171" spans="1:29" ht="15.6" x14ac:dyDescent="0.3">
      <c r="A171" s="26">
        <v>18</v>
      </c>
      <c r="B171" s="29" t="s">
        <v>619</v>
      </c>
      <c r="C171" s="26">
        <v>48</v>
      </c>
      <c r="D171" s="26">
        <v>42</v>
      </c>
      <c r="E171" s="33">
        <f t="shared" si="38"/>
        <v>90</v>
      </c>
      <c r="F171" s="26">
        <v>49</v>
      </c>
      <c r="G171" s="26">
        <v>45</v>
      </c>
      <c r="H171" s="33">
        <f t="shared" si="32"/>
        <v>94</v>
      </c>
      <c r="I171" s="26">
        <v>42</v>
      </c>
      <c r="J171" s="26">
        <v>44</v>
      </c>
      <c r="K171" s="33">
        <f t="shared" si="33"/>
        <v>86</v>
      </c>
      <c r="L171" s="26">
        <v>47</v>
      </c>
      <c r="M171" s="26">
        <v>35</v>
      </c>
      <c r="N171" s="33">
        <f t="shared" si="34"/>
        <v>82</v>
      </c>
      <c r="O171" s="26">
        <v>47</v>
      </c>
      <c r="P171" s="26">
        <v>47</v>
      </c>
      <c r="Q171" s="33">
        <f t="shared" si="35"/>
        <v>94</v>
      </c>
      <c r="R171" s="26">
        <v>34</v>
      </c>
      <c r="S171" s="26">
        <v>41</v>
      </c>
      <c r="T171" s="33">
        <f t="shared" si="36"/>
        <v>75</v>
      </c>
      <c r="U171" s="26">
        <v>28</v>
      </c>
      <c r="V171" s="26">
        <v>30</v>
      </c>
      <c r="W171" s="33">
        <f t="shared" si="37"/>
        <v>58</v>
      </c>
      <c r="X171" s="26"/>
      <c r="Y171" s="26"/>
      <c r="Z171" s="26"/>
      <c r="AA171" s="33">
        <f t="shared" si="39"/>
        <v>579</v>
      </c>
      <c r="AB171" s="26" t="s">
        <v>117</v>
      </c>
      <c r="AC171" s="29"/>
    </row>
    <row r="172" spans="1:29" ht="15.6" x14ac:dyDescent="0.3">
      <c r="A172" s="26">
        <v>19</v>
      </c>
      <c r="B172" s="29" t="s">
        <v>620</v>
      </c>
      <c r="C172" s="26">
        <v>25</v>
      </c>
      <c r="D172" s="26">
        <v>25</v>
      </c>
      <c r="E172" s="33">
        <f t="shared" si="38"/>
        <v>50</v>
      </c>
      <c r="F172" s="26">
        <v>40</v>
      </c>
      <c r="G172" s="26">
        <v>35</v>
      </c>
      <c r="H172" s="56">
        <f t="shared" si="32"/>
        <v>75</v>
      </c>
      <c r="I172" s="26">
        <v>28</v>
      </c>
      <c r="J172" s="26">
        <v>25</v>
      </c>
      <c r="K172" s="33">
        <f t="shared" si="33"/>
        <v>53</v>
      </c>
      <c r="L172" s="26">
        <v>25</v>
      </c>
      <c r="M172" s="26">
        <v>25</v>
      </c>
      <c r="N172" s="33">
        <f t="shared" si="34"/>
        <v>50</v>
      </c>
      <c r="O172" s="26">
        <v>28</v>
      </c>
      <c r="P172" s="26">
        <v>28</v>
      </c>
      <c r="Q172" s="33">
        <f t="shared" si="35"/>
        <v>56</v>
      </c>
      <c r="R172" s="26">
        <v>27</v>
      </c>
      <c r="S172" s="26">
        <v>36</v>
      </c>
      <c r="T172" s="33">
        <f t="shared" si="36"/>
        <v>63</v>
      </c>
      <c r="U172" s="26">
        <v>25</v>
      </c>
      <c r="V172" s="26">
        <v>25</v>
      </c>
      <c r="W172" s="33">
        <f t="shared" si="37"/>
        <v>50</v>
      </c>
      <c r="X172" s="26"/>
      <c r="Y172" s="26"/>
      <c r="Z172" s="26"/>
      <c r="AA172" s="33">
        <f t="shared" si="39"/>
        <v>397</v>
      </c>
      <c r="AB172" s="26" t="s">
        <v>117</v>
      </c>
      <c r="AC172" s="29"/>
    </row>
    <row r="173" spans="1:29" ht="15.6" x14ac:dyDescent="0.3">
      <c r="A173" s="26">
        <v>20</v>
      </c>
      <c r="B173" s="29" t="s">
        <v>289</v>
      </c>
      <c r="C173" s="26">
        <v>38</v>
      </c>
      <c r="D173" s="26">
        <v>30</v>
      </c>
      <c r="E173" s="33">
        <f t="shared" si="38"/>
        <v>68</v>
      </c>
      <c r="F173" s="26">
        <v>35</v>
      </c>
      <c r="G173" s="26">
        <v>46</v>
      </c>
      <c r="H173" s="33">
        <f t="shared" si="32"/>
        <v>81</v>
      </c>
      <c r="I173" s="26">
        <v>33</v>
      </c>
      <c r="J173" s="26">
        <v>33</v>
      </c>
      <c r="K173" s="33">
        <f t="shared" si="33"/>
        <v>66</v>
      </c>
      <c r="L173" s="26">
        <v>45</v>
      </c>
      <c r="M173" s="26">
        <v>35</v>
      </c>
      <c r="N173" s="33">
        <f t="shared" si="34"/>
        <v>80</v>
      </c>
      <c r="O173" s="26">
        <v>26</v>
      </c>
      <c r="P173" s="26">
        <v>25</v>
      </c>
      <c r="Q173" s="33">
        <f t="shared" si="35"/>
        <v>51</v>
      </c>
      <c r="R173" s="26">
        <v>25</v>
      </c>
      <c r="S173" s="26">
        <v>34</v>
      </c>
      <c r="T173" s="33">
        <f t="shared" si="36"/>
        <v>59</v>
      </c>
      <c r="U173" s="26">
        <v>25</v>
      </c>
      <c r="V173" s="26">
        <v>29</v>
      </c>
      <c r="W173" s="33">
        <f t="shared" si="37"/>
        <v>54</v>
      </c>
      <c r="X173" s="26"/>
      <c r="Y173" s="26"/>
      <c r="Z173" s="26"/>
      <c r="AA173" s="33">
        <f t="shared" si="39"/>
        <v>459</v>
      </c>
      <c r="AB173" s="26" t="s">
        <v>117</v>
      </c>
      <c r="AC173" s="29"/>
    </row>
    <row r="174" spans="1:29" x14ac:dyDescent="0.25">
      <c r="A174" s="3" t="s">
        <v>428</v>
      </c>
      <c r="B174" s="3"/>
      <c r="C174" s="3"/>
      <c r="D174" s="3"/>
      <c r="E174" s="3"/>
      <c r="F174" s="3"/>
      <c r="G174" s="3" t="s">
        <v>468</v>
      </c>
      <c r="H174" s="3"/>
      <c r="I174" s="3"/>
      <c r="J174" s="3"/>
      <c r="K174" s="3"/>
      <c r="L174" s="3"/>
      <c r="M174" s="3"/>
      <c r="N174" s="3"/>
      <c r="O174" s="3" t="s">
        <v>82</v>
      </c>
      <c r="P174" s="3"/>
      <c r="Q174" s="3"/>
      <c r="R174" s="3"/>
      <c r="S174" s="3"/>
      <c r="T174" s="3"/>
      <c r="U174" s="3" t="s">
        <v>83</v>
      </c>
      <c r="V174" s="3"/>
      <c r="W174" s="3"/>
      <c r="X174" s="3"/>
      <c r="Y174" s="3"/>
      <c r="Z174" s="3"/>
      <c r="AA174" s="3"/>
      <c r="AB174" s="3" t="s">
        <v>84</v>
      </c>
    </row>
    <row r="175" spans="1:29" x14ac:dyDescent="0.25">
      <c r="A175" s="22" t="s">
        <v>89</v>
      </c>
      <c r="B175" s="22"/>
      <c r="C175" s="22"/>
      <c r="D175" s="22"/>
      <c r="E175" s="22"/>
      <c r="F175" s="22" t="s">
        <v>90</v>
      </c>
      <c r="G175" s="22"/>
      <c r="H175" s="22"/>
      <c r="I175" s="22"/>
      <c r="J175" s="22"/>
      <c r="K175" s="22"/>
      <c r="L175" s="22"/>
      <c r="M175" s="22"/>
      <c r="N175" s="22" t="s">
        <v>462</v>
      </c>
      <c r="O175" s="22"/>
      <c r="P175" s="22"/>
      <c r="Q175" s="22"/>
      <c r="R175" s="22"/>
      <c r="S175" s="22"/>
      <c r="T175" s="22" t="s">
        <v>463</v>
      </c>
      <c r="U175" s="22"/>
      <c r="V175" s="22"/>
      <c r="W175" s="22"/>
      <c r="X175" s="22"/>
      <c r="Y175" s="22"/>
      <c r="Z175" s="3"/>
      <c r="AA175" s="3"/>
      <c r="AB175" s="3" t="s">
        <v>85</v>
      </c>
    </row>
    <row r="176" spans="1:29" x14ac:dyDescent="0.25">
      <c r="A176" s="22" t="s">
        <v>466</v>
      </c>
      <c r="B176" s="22"/>
      <c r="C176" s="22"/>
      <c r="D176" s="22"/>
      <c r="E176" s="22"/>
      <c r="F176" s="22" t="s">
        <v>91</v>
      </c>
      <c r="G176" s="22"/>
      <c r="H176" s="22"/>
      <c r="I176" s="22"/>
      <c r="J176" s="22"/>
      <c r="K176" s="22"/>
      <c r="L176" s="22"/>
      <c r="M176" s="22"/>
      <c r="N176" s="22" t="s">
        <v>94</v>
      </c>
      <c r="O176" s="22"/>
      <c r="P176" s="22"/>
      <c r="Q176" s="22"/>
      <c r="R176" s="22"/>
      <c r="S176" s="22"/>
      <c r="T176" s="22" t="s">
        <v>97</v>
      </c>
      <c r="U176" s="22"/>
      <c r="V176" s="22"/>
      <c r="W176" s="22"/>
      <c r="X176" s="22"/>
      <c r="Y176" s="22"/>
      <c r="Z176" s="3"/>
      <c r="AA176" s="3"/>
      <c r="AB176" s="3" t="s">
        <v>99</v>
      </c>
    </row>
    <row r="177" spans="1:29" x14ac:dyDescent="0.25">
      <c r="A177" s="22" t="s">
        <v>89</v>
      </c>
      <c r="B177" s="22"/>
      <c r="C177" s="22"/>
      <c r="D177" s="22"/>
      <c r="E177" s="22"/>
      <c r="F177" s="22" t="s">
        <v>92</v>
      </c>
      <c r="G177" s="22"/>
      <c r="H177" s="22"/>
      <c r="I177" s="22"/>
      <c r="J177" s="22"/>
      <c r="K177" s="22"/>
      <c r="L177" s="22"/>
      <c r="M177" s="22"/>
      <c r="N177" s="22" t="s">
        <v>95</v>
      </c>
      <c r="O177" s="22"/>
      <c r="P177" s="22"/>
      <c r="Q177" s="22"/>
      <c r="R177" s="22"/>
      <c r="S177" s="22"/>
      <c r="T177" s="22" t="s">
        <v>98</v>
      </c>
      <c r="U177" s="22"/>
      <c r="V177" s="22"/>
      <c r="W177" s="22"/>
      <c r="X177" s="22"/>
      <c r="Y177" s="22"/>
      <c r="Z177" s="3"/>
      <c r="AA177" s="3"/>
      <c r="AB177" s="3"/>
    </row>
    <row r="180" spans="1:29" ht="15.6" x14ac:dyDescent="0.3">
      <c r="B180" s="15" t="s">
        <v>494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 t="s">
        <v>467</v>
      </c>
      <c r="N180" s="6"/>
      <c r="O180" s="6"/>
      <c r="P180" s="6"/>
      <c r="Q180" s="6"/>
      <c r="R180" s="6"/>
      <c r="S180" s="6"/>
      <c r="T180" s="6"/>
      <c r="U180" s="6"/>
      <c r="V180" s="6"/>
      <c r="W180" s="5"/>
      <c r="X180" s="6"/>
      <c r="Y180" s="6"/>
      <c r="Z180" s="6"/>
      <c r="AA180" s="5"/>
      <c r="AB180" s="5" t="s">
        <v>456</v>
      </c>
      <c r="AC180" s="6"/>
    </row>
    <row r="181" spans="1:29" ht="15.6" x14ac:dyDescent="0.3">
      <c r="B181" s="15" t="s">
        <v>81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5"/>
      <c r="X181" s="6"/>
      <c r="Y181" s="6"/>
      <c r="Z181" s="6"/>
      <c r="AA181" s="5"/>
      <c r="AB181" s="5" t="s">
        <v>100</v>
      </c>
      <c r="AC181" s="6"/>
    </row>
    <row r="182" spans="1:29" ht="15.6" x14ac:dyDescent="0.3">
      <c r="B182" s="15" t="s">
        <v>459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5"/>
      <c r="X182" s="6"/>
      <c r="Y182" s="6"/>
      <c r="Z182" s="6"/>
      <c r="AA182" s="5"/>
      <c r="AB182" s="5" t="s">
        <v>158</v>
      </c>
      <c r="AC182" s="6"/>
    </row>
    <row r="183" spans="1:29" ht="15.6" x14ac:dyDescent="0.3">
      <c r="B183" s="15" t="s">
        <v>460</v>
      </c>
      <c r="C183" s="6"/>
      <c r="D183" s="6"/>
      <c r="E183" s="6"/>
      <c r="F183" s="6"/>
      <c r="G183" s="6"/>
      <c r="H183" s="6"/>
      <c r="I183" s="6"/>
      <c r="J183" s="6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5"/>
      <c r="X183" s="6"/>
      <c r="Y183" s="6"/>
      <c r="Z183" s="6"/>
      <c r="AA183" s="5"/>
      <c r="AB183" s="5" t="s">
        <v>383</v>
      </c>
      <c r="AC183" s="6"/>
    </row>
    <row r="184" spans="1:29" ht="15.6" x14ac:dyDescent="0.3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5"/>
      <c r="X184" s="6"/>
      <c r="Y184" s="6"/>
      <c r="Z184" s="6"/>
      <c r="AA184" s="5"/>
      <c r="AB184" s="5" t="s">
        <v>386</v>
      </c>
      <c r="AC184" s="6"/>
    </row>
    <row r="185" spans="1:29" ht="15.6" x14ac:dyDescent="0.3">
      <c r="B185" s="6"/>
      <c r="C185" s="5" t="s">
        <v>482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5"/>
      <c r="X185" s="6"/>
      <c r="Y185" s="6"/>
      <c r="Z185" s="6"/>
      <c r="AA185" s="5"/>
      <c r="AB185" s="5"/>
      <c r="AC185" s="6"/>
    </row>
    <row r="186" spans="1:29" ht="15.6" x14ac:dyDescent="0.3">
      <c r="A186" s="57" t="s">
        <v>0</v>
      </c>
      <c r="B186" s="66" t="s">
        <v>469</v>
      </c>
      <c r="C186" s="60" t="s">
        <v>458</v>
      </c>
      <c r="D186" s="61"/>
      <c r="E186" s="62"/>
      <c r="F186" s="60" t="s">
        <v>1</v>
      </c>
      <c r="G186" s="61"/>
      <c r="H186" s="62"/>
      <c r="I186" s="60" t="s">
        <v>2</v>
      </c>
      <c r="J186" s="61"/>
      <c r="K186" s="62"/>
      <c r="L186" s="60" t="s">
        <v>8</v>
      </c>
      <c r="M186" s="61"/>
      <c r="N186" s="62"/>
      <c r="O186" s="60" t="s">
        <v>3</v>
      </c>
      <c r="P186" s="61"/>
      <c r="Q186" s="62"/>
      <c r="R186" s="31"/>
      <c r="S186" s="31" t="s">
        <v>4</v>
      </c>
      <c r="T186" s="31"/>
      <c r="U186" s="60" t="s">
        <v>5</v>
      </c>
      <c r="V186" s="61"/>
      <c r="W186" s="62"/>
      <c r="X186" s="57" t="s">
        <v>16</v>
      </c>
      <c r="Y186" s="57" t="s">
        <v>17</v>
      </c>
      <c r="Z186" s="57" t="s">
        <v>18</v>
      </c>
      <c r="AA186" s="57" t="s">
        <v>19</v>
      </c>
      <c r="AB186" s="57" t="s">
        <v>20</v>
      </c>
      <c r="AC186" s="57" t="s">
        <v>21</v>
      </c>
    </row>
    <row r="187" spans="1:29" ht="55.2" x14ac:dyDescent="0.25">
      <c r="A187" s="58"/>
      <c r="B187" s="67"/>
      <c r="C187" s="32" t="s">
        <v>6</v>
      </c>
      <c r="D187" s="32" t="s">
        <v>461</v>
      </c>
      <c r="E187" s="32" t="s">
        <v>7</v>
      </c>
      <c r="F187" s="32" t="s">
        <v>6</v>
      </c>
      <c r="G187" s="32" t="s">
        <v>461</v>
      </c>
      <c r="H187" s="32" t="s">
        <v>7</v>
      </c>
      <c r="I187" s="32" t="s">
        <v>6</v>
      </c>
      <c r="J187" s="32" t="s">
        <v>461</v>
      </c>
      <c r="K187" s="32" t="s">
        <v>7</v>
      </c>
      <c r="L187" s="32" t="s">
        <v>6</v>
      </c>
      <c r="M187" s="32" t="s">
        <v>461</v>
      </c>
      <c r="N187" s="32" t="s">
        <v>7</v>
      </c>
      <c r="O187" s="32" t="s">
        <v>6</v>
      </c>
      <c r="P187" s="32" t="s">
        <v>461</v>
      </c>
      <c r="Q187" s="32" t="s">
        <v>7</v>
      </c>
      <c r="R187" s="32" t="s">
        <v>6</v>
      </c>
      <c r="S187" s="32" t="s">
        <v>461</v>
      </c>
      <c r="T187" s="32" t="s">
        <v>7</v>
      </c>
      <c r="U187" s="32" t="s">
        <v>6</v>
      </c>
      <c r="V187" s="32" t="s">
        <v>461</v>
      </c>
      <c r="W187" s="32" t="s">
        <v>7</v>
      </c>
      <c r="X187" s="58"/>
      <c r="Y187" s="58"/>
      <c r="Z187" s="58"/>
      <c r="AA187" s="58"/>
      <c r="AB187" s="58"/>
      <c r="AC187" s="58"/>
    </row>
    <row r="188" spans="1:29" ht="15.6" x14ac:dyDescent="0.3">
      <c r="A188" s="59"/>
      <c r="B188" s="68"/>
      <c r="C188" s="33">
        <v>50</v>
      </c>
      <c r="D188" s="33">
        <v>50</v>
      </c>
      <c r="E188" s="33">
        <v>100</v>
      </c>
      <c r="F188" s="33">
        <v>50</v>
      </c>
      <c r="G188" s="33">
        <v>50</v>
      </c>
      <c r="H188" s="33">
        <v>100</v>
      </c>
      <c r="I188" s="33">
        <v>50</v>
      </c>
      <c r="J188" s="33">
        <v>50</v>
      </c>
      <c r="K188" s="33">
        <v>100</v>
      </c>
      <c r="L188" s="33">
        <v>50</v>
      </c>
      <c r="M188" s="33">
        <v>50</v>
      </c>
      <c r="N188" s="33">
        <v>100</v>
      </c>
      <c r="O188" s="33">
        <v>50</v>
      </c>
      <c r="P188" s="33">
        <v>50</v>
      </c>
      <c r="Q188" s="33">
        <v>100</v>
      </c>
      <c r="R188" s="33">
        <v>50</v>
      </c>
      <c r="S188" s="33">
        <v>50</v>
      </c>
      <c r="T188" s="33">
        <v>100</v>
      </c>
      <c r="U188" s="33">
        <v>50</v>
      </c>
      <c r="V188" s="33">
        <v>50</v>
      </c>
      <c r="W188" s="33">
        <v>100</v>
      </c>
      <c r="X188" s="59"/>
      <c r="Y188" s="59"/>
      <c r="Z188" s="59"/>
      <c r="AA188" s="59"/>
      <c r="AB188" s="59"/>
      <c r="AC188" s="59"/>
    </row>
    <row r="189" spans="1:29" ht="15.6" x14ac:dyDescent="0.3">
      <c r="A189" s="26">
        <v>21</v>
      </c>
      <c r="B189" s="29" t="s">
        <v>290</v>
      </c>
      <c r="C189" s="26">
        <v>42</v>
      </c>
      <c r="D189" s="26">
        <v>39</v>
      </c>
      <c r="E189" s="33">
        <f t="shared" ref="E189:E208" si="40">SUM(C189:D189)</f>
        <v>81</v>
      </c>
      <c r="F189" s="26">
        <v>44</v>
      </c>
      <c r="G189" s="26">
        <v>37</v>
      </c>
      <c r="H189" s="33">
        <f t="shared" ref="H189:H208" si="41">SUM(F189:G189)</f>
        <v>81</v>
      </c>
      <c r="I189" s="26">
        <v>30</v>
      </c>
      <c r="J189" s="26">
        <v>45</v>
      </c>
      <c r="K189" s="33">
        <f t="shared" ref="K189:K208" si="42">SUM(I189:J189)</f>
        <v>75</v>
      </c>
      <c r="L189" s="26">
        <v>30</v>
      </c>
      <c r="M189" s="26">
        <v>25</v>
      </c>
      <c r="N189" s="33">
        <f t="shared" ref="N189:N208" si="43">SUM(L189:M189)</f>
        <v>55</v>
      </c>
      <c r="O189" s="26">
        <v>25</v>
      </c>
      <c r="P189" s="26">
        <v>26</v>
      </c>
      <c r="Q189" s="33">
        <f t="shared" ref="Q189:Q208" si="44">SUM(O189:P189)</f>
        <v>51</v>
      </c>
      <c r="R189" s="26">
        <v>39</v>
      </c>
      <c r="S189" s="26">
        <v>41</v>
      </c>
      <c r="T189" s="33">
        <f t="shared" ref="T189:T208" si="45">SUM(R189:S189)</f>
        <v>80</v>
      </c>
      <c r="U189" s="26">
        <v>40</v>
      </c>
      <c r="V189" s="26">
        <v>32</v>
      </c>
      <c r="W189" s="33">
        <f t="shared" ref="W189:W208" si="46">SUM(U189:V189)</f>
        <v>72</v>
      </c>
      <c r="X189" s="26"/>
      <c r="Y189" s="26"/>
      <c r="Z189" s="26"/>
      <c r="AA189" s="33">
        <f t="shared" ref="AA189:AA208" si="47">SUM(W189,T189,Q189,N189,K189,H189,E189)</f>
        <v>495</v>
      </c>
      <c r="AB189" s="26" t="s">
        <v>117</v>
      </c>
      <c r="AC189" s="29"/>
    </row>
    <row r="190" spans="1:29" ht="15.6" x14ac:dyDescent="0.3">
      <c r="A190" s="26">
        <v>22</v>
      </c>
      <c r="B190" s="29" t="s">
        <v>291</v>
      </c>
      <c r="C190" s="26">
        <v>50</v>
      </c>
      <c r="D190" s="26">
        <v>50</v>
      </c>
      <c r="E190" s="33">
        <f t="shared" si="40"/>
        <v>100</v>
      </c>
      <c r="F190" s="26">
        <v>50</v>
      </c>
      <c r="G190" s="26">
        <v>49</v>
      </c>
      <c r="H190" s="33">
        <f t="shared" si="41"/>
        <v>99</v>
      </c>
      <c r="I190" s="26">
        <v>50</v>
      </c>
      <c r="J190" s="26">
        <v>48</v>
      </c>
      <c r="K190" s="33">
        <f t="shared" si="42"/>
        <v>98</v>
      </c>
      <c r="L190" s="26">
        <v>49</v>
      </c>
      <c r="M190" s="26">
        <v>50</v>
      </c>
      <c r="N190" s="33">
        <f t="shared" si="43"/>
        <v>99</v>
      </c>
      <c r="O190" s="26">
        <v>48</v>
      </c>
      <c r="P190" s="26">
        <v>50</v>
      </c>
      <c r="Q190" s="33">
        <f t="shared" si="44"/>
        <v>98</v>
      </c>
      <c r="R190" s="26">
        <v>49</v>
      </c>
      <c r="S190" s="26">
        <v>49</v>
      </c>
      <c r="T190" s="33">
        <f t="shared" si="45"/>
        <v>98</v>
      </c>
      <c r="U190" s="26">
        <v>49</v>
      </c>
      <c r="V190" s="26">
        <v>50</v>
      </c>
      <c r="W190" s="33">
        <f t="shared" si="46"/>
        <v>99</v>
      </c>
      <c r="X190" s="26"/>
      <c r="Y190" s="26"/>
      <c r="Z190" s="26"/>
      <c r="AA190" s="33">
        <f t="shared" si="47"/>
        <v>691</v>
      </c>
      <c r="AB190" s="26" t="s">
        <v>117</v>
      </c>
      <c r="AC190" s="29"/>
    </row>
    <row r="191" spans="1:29" ht="15.6" x14ac:dyDescent="0.3">
      <c r="A191" s="26">
        <v>23</v>
      </c>
      <c r="B191" s="29" t="s">
        <v>621</v>
      </c>
      <c r="C191" s="26">
        <v>25</v>
      </c>
      <c r="D191" s="26">
        <v>25</v>
      </c>
      <c r="E191" s="33">
        <f t="shared" si="40"/>
        <v>50</v>
      </c>
      <c r="F191" s="26">
        <v>24</v>
      </c>
      <c r="G191" s="26">
        <v>27</v>
      </c>
      <c r="H191" s="33">
        <f t="shared" si="41"/>
        <v>51</v>
      </c>
      <c r="I191" s="26">
        <v>25</v>
      </c>
      <c r="J191" s="26">
        <v>25</v>
      </c>
      <c r="K191" s="33">
        <f t="shared" si="42"/>
        <v>50</v>
      </c>
      <c r="L191" s="26">
        <v>21</v>
      </c>
      <c r="M191" s="26">
        <v>29</v>
      </c>
      <c r="N191" s="33">
        <f t="shared" si="43"/>
        <v>50</v>
      </c>
      <c r="O191" s="26">
        <v>25</v>
      </c>
      <c r="P191" s="26">
        <v>25</v>
      </c>
      <c r="Q191" s="33">
        <f t="shared" si="44"/>
        <v>50</v>
      </c>
      <c r="R191" s="26">
        <v>24</v>
      </c>
      <c r="S191" s="26">
        <v>38</v>
      </c>
      <c r="T191" s="33">
        <f t="shared" si="45"/>
        <v>62</v>
      </c>
      <c r="U191" s="26">
        <v>19</v>
      </c>
      <c r="V191" s="26">
        <v>41</v>
      </c>
      <c r="W191" s="33">
        <f t="shared" si="46"/>
        <v>60</v>
      </c>
      <c r="X191" s="26"/>
      <c r="Y191" s="26"/>
      <c r="Z191" s="26"/>
      <c r="AA191" s="33">
        <f t="shared" si="47"/>
        <v>373</v>
      </c>
      <c r="AB191" s="26" t="s">
        <v>117</v>
      </c>
      <c r="AC191" s="29"/>
    </row>
    <row r="192" spans="1:29" ht="15.6" x14ac:dyDescent="0.3">
      <c r="A192" s="26">
        <v>24</v>
      </c>
      <c r="B192" s="29" t="s">
        <v>292</v>
      </c>
      <c r="C192" s="26">
        <v>47</v>
      </c>
      <c r="D192" s="26">
        <v>37</v>
      </c>
      <c r="E192" s="33">
        <f t="shared" si="40"/>
        <v>84</v>
      </c>
      <c r="F192" s="26">
        <v>46</v>
      </c>
      <c r="G192" s="26">
        <v>48</v>
      </c>
      <c r="H192" s="33">
        <f t="shared" si="41"/>
        <v>94</v>
      </c>
      <c r="I192" s="26">
        <v>47</v>
      </c>
      <c r="J192" s="26">
        <v>45</v>
      </c>
      <c r="K192" s="33">
        <f t="shared" si="42"/>
        <v>92</v>
      </c>
      <c r="L192" s="26">
        <v>49</v>
      </c>
      <c r="M192" s="26">
        <v>42</v>
      </c>
      <c r="N192" s="33">
        <f t="shared" si="43"/>
        <v>91</v>
      </c>
      <c r="O192" s="26">
        <v>41</v>
      </c>
      <c r="P192" s="26">
        <v>40</v>
      </c>
      <c r="Q192" s="33">
        <f t="shared" si="44"/>
        <v>81</v>
      </c>
      <c r="R192" s="26">
        <v>44</v>
      </c>
      <c r="S192" s="26">
        <v>40</v>
      </c>
      <c r="T192" s="33">
        <f t="shared" si="45"/>
        <v>84</v>
      </c>
      <c r="U192" s="26">
        <v>32</v>
      </c>
      <c r="V192" s="26">
        <v>43</v>
      </c>
      <c r="W192" s="33">
        <v>85</v>
      </c>
      <c r="X192" s="26"/>
      <c r="Y192" s="26"/>
      <c r="Z192" s="26"/>
      <c r="AA192" s="33">
        <f t="shared" si="47"/>
        <v>611</v>
      </c>
      <c r="AB192" s="26" t="s">
        <v>117</v>
      </c>
      <c r="AC192" s="29"/>
    </row>
    <row r="193" spans="1:29" ht="15.6" x14ac:dyDescent="0.3">
      <c r="A193" s="26">
        <v>25</v>
      </c>
      <c r="B193" s="29" t="s">
        <v>293</v>
      </c>
      <c r="C193" s="26">
        <v>44</v>
      </c>
      <c r="D193" s="26">
        <v>41</v>
      </c>
      <c r="E193" s="33">
        <f t="shared" si="40"/>
        <v>85</v>
      </c>
      <c r="F193" s="26">
        <v>49</v>
      </c>
      <c r="G193" s="26">
        <v>49</v>
      </c>
      <c r="H193" s="33">
        <f t="shared" si="41"/>
        <v>98</v>
      </c>
      <c r="I193" s="26">
        <v>44</v>
      </c>
      <c r="J193" s="26">
        <v>42</v>
      </c>
      <c r="K193" s="33">
        <f t="shared" si="42"/>
        <v>86</v>
      </c>
      <c r="L193" s="26">
        <v>46</v>
      </c>
      <c r="M193" s="26">
        <v>34</v>
      </c>
      <c r="N193" s="33">
        <f t="shared" si="43"/>
        <v>80</v>
      </c>
      <c r="O193" s="26">
        <v>43</v>
      </c>
      <c r="P193" s="26">
        <v>38</v>
      </c>
      <c r="Q193" s="33">
        <f t="shared" si="44"/>
        <v>81</v>
      </c>
      <c r="R193" s="26">
        <v>36</v>
      </c>
      <c r="S193" s="26">
        <v>39</v>
      </c>
      <c r="T193" s="33">
        <f t="shared" si="45"/>
        <v>75</v>
      </c>
      <c r="U193" s="26">
        <v>38</v>
      </c>
      <c r="V193" s="26">
        <v>31</v>
      </c>
      <c r="W193" s="33">
        <f t="shared" si="46"/>
        <v>69</v>
      </c>
      <c r="X193" s="26"/>
      <c r="Y193" s="26"/>
      <c r="Z193" s="26"/>
      <c r="AA193" s="33">
        <f t="shared" si="47"/>
        <v>574</v>
      </c>
      <c r="AB193" s="26" t="s">
        <v>117</v>
      </c>
      <c r="AC193" s="29"/>
    </row>
    <row r="194" spans="1:29" ht="15.6" x14ac:dyDescent="0.3">
      <c r="A194" s="26">
        <v>26</v>
      </c>
      <c r="B194" s="29" t="s">
        <v>622</v>
      </c>
      <c r="C194" s="26">
        <v>27</v>
      </c>
      <c r="D194" s="26">
        <v>33</v>
      </c>
      <c r="E194" s="33">
        <f t="shared" si="40"/>
        <v>60</v>
      </c>
      <c r="F194" s="26">
        <v>37</v>
      </c>
      <c r="G194" s="26">
        <v>31</v>
      </c>
      <c r="H194" s="33">
        <f t="shared" si="41"/>
        <v>68</v>
      </c>
      <c r="I194" s="26">
        <v>27</v>
      </c>
      <c r="J194" s="26">
        <v>25</v>
      </c>
      <c r="K194" s="33">
        <f t="shared" si="42"/>
        <v>52</v>
      </c>
      <c r="L194" s="26">
        <v>30</v>
      </c>
      <c r="M194" s="26">
        <v>25</v>
      </c>
      <c r="N194" s="33">
        <f t="shared" si="43"/>
        <v>55</v>
      </c>
      <c r="O194" s="26">
        <v>26</v>
      </c>
      <c r="P194" s="26">
        <v>29</v>
      </c>
      <c r="Q194" s="33">
        <f t="shared" si="44"/>
        <v>55</v>
      </c>
      <c r="R194" s="26">
        <v>31</v>
      </c>
      <c r="S194" s="26">
        <v>34</v>
      </c>
      <c r="T194" s="33">
        <f t="shared" si="45"/>
        <v>65</v>
      </c>
      <c r="U194" s="26">
        <v>29</v>
      </c>
      <c r="V194" s="26">
        <v>25</v>
      </c>
      <c r="W194" s="33">
        <f t="shared" si="46"/>
        <v>54</v>
      </c>
      <c r="X194" s="26"/>
      <c r="Y194" s="26"/>
      <c r="Z194" s="26"/>
      <c r="AA194" s="33">
        <f t="shared" si="47"/>
        <v>409</v>
      </c>
      <c r="AB194" s="26" t="s">
        <v>117</v>
      </c>
      <c r="AC194" s="29"/>
    </row>
    <row r="195" spans="1:29" ht="15.6" x14ac:dyDescent="0.3">
      <c r="A195" s="26">
        <v>27</v>
      </c>
      <c r="B195" s="29" t="s">
        <v>294</v>
      </c>
      <c r="C195" s="26">
        <v>25</v>
      </c>
      <c r="D195" s="26">
        <v>25</v>
      </c>
      <c r="E195" s="33">
        <f t="shared" si="40"/>
        <v>50</v>
      </c>
      <c r="F195" s="26">
        <v>25</v>
      </c>
      <c r="G195" s="26">
        <v>25</v>
      </c>
      <c r="H195" s="33">
        <f t="shared" si="41"/>
        <v>50</v>
      </c>
      <c r="I195" s="26">
        <v>25</v>
      </c>
      <c r="J195" s="26">
        <v>25</v>
      </c>
      <c r="K195" s="33">
        <f t="shared" si="42"/>
        <v>50</v>
      </c>
      <c r="L195" s="26">
        <v>25</v>
      </c>
      <c r="M195" s="26">
        <v>25</v>
      </c>
      <c r="N195" s="33">
        <f t="shared" si="43"/>
        <v>50</v>
      </c>
      <c r="O195" s="26">
        <v>30</v>
      </c>
      <c r="P195" s="26">
        <v>27</v>
      </c>
      <c r="Q195" s="33">
        <f t="shared" si="44"/>
        <v>57</v>
      </c>
      <c r="R195" s="26">
        <v>26</v>
      </c>
      <c r="S195" s="26">
        <v>31</v>
      </c>
      <c r="T195" s="33">
        <f t="shared" si="45"/>
        <v>57</v>
      </c>
      <c r="U195" s="26">
        <v>31</v>
      </c>
      <c r="V195" s="26">
        <v>31</v>
      </c>
      <c r="W195" s="33">
        <f t="shared" si="46"/>
        <v>62</v>
      </c>
      <c r="X195" s="26"/>
      <c r="Y195" s="26"/>
      <c r="Z195" s="26"/>
      <c r="AA195" s="33">
        <f t="shared" si="47"/>
        <v>376</v>
      </c>
      <c r="AB195" s="26" t="s">
        <v>117</v>
      </c>
      <c r="AC195" s="29"/>
    </row>
    <row r="196" spans="1:29" ht="15.6" x14ac:dyDescent="0.3">
      <c r="A196" s="26">
        <v>28</v>
      </c>
      <c r="B196" s="29" t="s">
        <v>643</v>
      </c>
      <c r="C196" s="26">
        <v>25</v>
      </c>
      <c r="D196" s="26">
        <v>27</v>
      </c>
      <c r="E196" s="33">
        <f t="shared" si="40"/>
        <v>52</v>
      </c>
      <c r="F196" s="26">
        <v>21</v>
      </c>
      <c r="G196" s="26">
        <v>37</v>
      </c>
      <c r="H196" s="33">
        <f t="shared" si="41"/>
        <v>58</v>
      </c>
      <c r="I196" s="26">
        <v>25</v>
      </c>
      <c r="J196" s="26">
        <v>25</v>
      </c>
      <c r="K196" s="33">
        <f t="shared" si="42"/>
        <v>50</v>
      </c>
      <c r="L196" s="26">
        <v>22</v>
      </c>
      <c r="M196" s="26">
        <v>28</v>
      </c>
      <c r="N196" s="33">
        <f t="shared" si="43"/>
        <v>50</v>
      </c>
      <c r="O196" s="26">
        <v>22</v>
      </c>
      <c r="P196" s="26">
        <v>31</v>
      </c>
      <c r="Q196" s="33">
        <f t="shared" si="44"/>
        <v>53</v>
      </c>
      <c r="R196" s="26">
        <v>27</v>
      </c>
      <c r="S196" s="26">
        <v>30</v>
      </c>
      <c r="T196" s="33">
        <f t="shared" si="45"/>
        <v>57</v>
      </c>
      <c r="U196" s="26">
        <v>25</v>
      </c>
      <c r="V196" s="26">
        <v>25</v>
      </c>
      <c r="W196" s="33">
        <f t="shared" si="46"/>
        <v>50</v>
      </c>
      <c r="X196" s="26"/>
      <c r="Y196" s="26"/>
      <c r="Z196" s="26"/>
      <c r="AA196" s="33">
        <f t="shared" si="47"/>
        <v>370</v>
      </c>
      <c r="AB196" s="26" t="s">
        <v>117</v>
      </c>
      <c r="AC196" s="29"/>
    </row>
    <row r="197" spans="1:29" ht="15.6" x14ac:dyDescent="0.3">
      <c r="A197" s="26">
        <v>29</v>
      </c>
      <c r="B197" s="29" t="s">
        <v>637</v>
      </c>
      <c r="C197" s="26">
        <v>28</v>
      </c>
      <c r="D197" s="26">
        <v>25</v>
      </c>
      <c r="E197" s="33">
        <f t="shared" si="40"/>
        <v>53</v>
      </c>
      <c r="F197" s="26">
        <v>28</v>
      </c>
      <c r="G197" s="26">
        <v>25</v>
      </c>
      <c r="H197" s="33">
        <f t="shared" si="41"/>
        <v>53</v>
      </c>
      <c r="I197" s="26">
        <v>25</v>
      </c>
      <c r="J197" s="26">
        <v>25</v>
      </c>
      <c r="K197" s="33">
        <f t="shared" si="42"/>
        <v>50</v>
      </c>
      <c r="L197" s="26">
        <v>30</v>
      </c>
      <c r="M197" s="26">
        <v>26</v>
      </c>
      <c r="N197" s="33">
        <f t="shared" si="43"/>
        <v>56</v>
      </c>
      <c r="O197" s="26">
        <v>28</v>
      </c>
      <c r="P197" s="26">
        <v>25</v>
      </c>
      <c r="Q197" s="33">
        <f t="shared" si="44"/>
        <v>53</v>
      </c>
      <c r="R197" s="26">
        <v>29</v>
      </c>
      <c r="S197" s="26">
        <v>26</v>
      </c>
      <c r="T197" s="33">
        <f t="shared" si="45"/>
        <v>55</v>
      </c>
      <c r="U197" s="26">
        <v>29</v>
      </c>
      <c r="V197" s="26">
        <v>26</v>
      </c>
      <c r="W197" s="33">
        <f t="shared" si="46"/>
        <v>55</v>
      </c>
      <c r="X197" s="26"/>
      <c r="Y197" s="26"/>
      <c r="Z197" s="26"/>
      <c r="AA197" s="33">
        <f t="shared" si="47"/>
        <v>375</v>
      </c>
      <c r="AB197" s="26" t="s">
        <v>117</v>
      </c>
      <c r="AC197" s="29"/>
    </row>
    <row r="198" spans="1:29" ht="15.6" x14ac:dyDescent="0.3">
      <c r="A198" s="26">
        <v>30</v>
      </c>
      <c r="B198" s="29" t="s">
        <v>623</v>
      </c>
      <c r="C198" s="26">
        <v>42</v>
      </c>
      <c r="D198" s="26">
        <v>49</v>
      </c>
      <c r="E198" s="33">
        <f t="shared" si="40"/>
        <v>91</v>
      </c>
      <c r="F198" s="26">
        <v>45</v>
      </c>
      <c r="G198" s="26">
        <v>41</v>
      </c>
      <c r="H198" s="33">
        <f t="shared" si="41"/>
        <v>86</v>
      </c>
      <c r="I198" s="26">
        <v>29</v>
      </c>
      <c r="J198" s="26">
        <v>28</v>
      </c>
      <c r="K198" s="33">
        <f t="shared" si="42"/>
        <v>57</v>
      </c>
      <c r="L198" s="26">
        <v>42</v>
      </c>
      <c r="M198" s="26">
        <v>43</v>
      </c>
      <c r="N198" s="33">
        <f t="shared" si="43"/>
        <v>85</v>
      </c>
      <c r="O198" s="26">
        <v>40</v>
      </c>
      <c r="P198" s="26">
        <v>45</v>
      </c>
      <c r="Q198" s="33">
        <f t="shared" si="44"/>
        <v>85</v>
      </c>
      <c r="R198" s="26">
        <v>27</v>
      </c>
      <c r="S198" s="26">
        <v>37</v>
      </c>
      <c r="T198" s="33">
        <f t="shared" si="45"/>
        <v>64</v>
      </c>
      <c r="U198" s="26">
        <v>29</v>
      </c>
      <c r="V198" s="26">
        <v>29</v>
      </c>
      <c r="W198" s="33">
        <f t="shared" si="46"/>
        <v>58</v>
      </c>
      <c r="X198" s="26"/>
      <c r="Y198" s="26"/>
      <c r="Z198" s="26"/>
      <c r="AA198" s="33">
        <f t="shared" si="47"/>
        <v>526</v>
      </c>
      <c r="AB198" s="26" t="s">
        <v>117</v>
      </c>
      <c r="AC198" s="29"/>
    </row>
    <row r="199" spans="1:29" ht="15.6" x14ac:dyDescent="0.3">
      <c r="A199" s="26">
        <v>31</v>
      </c>
      <c r="B199" s="29" t="s">
        <v>295</v>
      </c>
      <c r="C199" s="26">
        <v>25</v>
      </c>
      <c r="D199" s="26">
        <v>25</v>
      </c>
      <c r="E199" s="33">
        <f t="shared" si="40"/>
        <v>50</v>
      </c>
      <c r="F199" s="26">
        <v>28</v>
      </c>
      <c r="G199" s="26">
        <v>25</v>
      </c>
      <c r="H199" s="33">
        <f t="shared" si="41"/>
        <v>53</v>
      </c>
      <c r="I199" s="26">
        <v>29</v>
      </c>
      <c r="J199" s="26">
        <v>25</v>
      </c>
      <c r="K199" s="33">
        <f t="shared" si="42"/>
        <v>54</v>
      </c>
      <c r="L199" s="26">
        <v>25</v>
      </c>
      <c r="M199" s="26">
        <v>27</v>
      </c>
      <c r="N199" s="33">
        <f t="shared" si="43"/>
        <v>52</v>
      </c>
      <c r="O199" s="26">
        <v>25</v>
      </c>
      <c r="P199" s="26">
        <v>25</v>
      </c>
      <c r="Q199" s="33">
        <f t="shared" si="44"/>
        <v>50</v>
      </c>
      <c r="R199" s="26">
        <v>26</v>
      </c>
      <c r="S199" s="26">
        <v>29</v>
      </c>
      <c r="T199" s="33">
        <f t="shared" si="45"/>
        <v>55</v>
      </c>
      <c r="U199" s="26">
        <v>35</v>
      </c>
      <c r="V199" s="26">
        <v>34</v>
      </c>
      <c r="W199" s="33">
        <f t="shared" si="46"/>
        <v>69</v>
      </c>
      <c r="X199" s="26"/>
      <c r="Y199" s="26"/>
      <c r="Z199" s="26"/>
      <c r="AA199" s="33">
        <f t="shared" si="47"/>
        <v>383</v>
      </c>
      <c r="AB199" s="26" t="s">
        <v>117</v>
      </c>
      <c r="AC199" s="29"/>
    </row>
    <row r="200" spans="1:29" ht="15.6" x14ac:dyDescent="0.3">
      <c r="A200" s="26">
        <v>32</v>
      </c>
      <c r="B200" s="29" t="s">
        <v>296</v>
      </c>
      <c r="C200" s="26">
        <v>20</v>
      </c>
      <c r="D200" s="26">
        <v>32</v>
      </c>
      <c r="E200" s="33">
        <f t="shared" si="40"/>
        <v>52</v>
      </c>
      <c r="F200" s="26">
        <v>23</v>
      </c>
      <c r="G200" s="26">
        <v>28</v>
      </c>
      <c r="H200" s="33">
        <f t="shared" si="41"/>
        <v>51</v>
      </c>
      <c r="I200" s="26">
        <v>25</v>
      </c>
      <c r="J200" s="26">
        <v>25</v>
      </c>
      <c r="K200" s="33">
        <f t="shared" si="42"/>
        <v>50</v>
      </c>
      <c r="L200" s="26">
        <v>24</v>
      </c>
      <c r="M200" s="26">
        <v>28</v>
      </c>
      <c r="N200" s="33">
        <f t="shared" si="43"/>
        <v>52</v>
      </c>
      <c r="O200" s="26">
        <v>25</v>
      </c>
      <c r="P200" s="26">
        <v>25</v>
      </c>
      <c r="Q200" s="33">
        <f t="shared" si="44"/>
        <v>50</v>
      </c>
      <c r="R200" s="26">
        <v>24</v>
      </c>
      <c r="S200" s="26">
        <v>28</v>
      </c>
      <c r="T200" s="33">
        <f t="shared" si="45"/>
        <v>52</v>
      </c>
      <c r="U200" s="26">
        <v>23</v>
      </c>
      <c r="V200" s="26">
        <v>27</v>
      </c>
      <c r="W200" s="33">
        <f t="shared" si="46"/>
        <v>50</v>
      </c>
      <c r="X200" s="26"/>
      <c r="Y200" s="26"/>
      <c r="Z200" s="26"/>
      <c r="AA200" s="33">
        <f t="shared" si="47"/>
        <v>357</v>
      </c>
      <c r="AB200" s="26" t="s">
        <v>117</v>
      </c>
      <c r="AC200" s="29"/>
    </row>
    <row r="201" spans="1:29" ht="15.6" x14ac:dyDescent="0.3">
      <c r="A201" s="26">
        <v>33</v>
      </c>
      <c r="B201" s="29" t="s">
        <v>624</v>
      </c>
      <c r="C201" s="26">
        <v>25</v>
      </c>
      <c r="D201" s="26">
        <v>25</v>
      </c>
      <c r="E201" s="33">
        <f t="shared" si="40"/>
        <v>50</v>
      </c>
      <c r="F201" s="26">
        <v>36</v>
      </c>
      <c r="G201" s="26">
        <v>28</v>
      </c>
      <c r="H201" s="33">
        <f t="shared" si="41"/>
        <v>64</v>
      </c>
      <c r="I201" s="26">
        <v>25</v>
      </c>
      <c r="J201" s="26">
        <v>25</v>
      </c>
      <c r="K201" s="33">
        <f t="shared" si="42"/>
        <v>50</v>
      </c>
      <c r="L201" s="26">
        <v>25</v>
      </c>
      <c r="M201" s="26">
        <v>25</v>
      </c>
      <c r="N201" s="33">
        <f t="shared" si="43"/>
        <v>50</v>
      </c>
      <c r="O201" s="26">
        <v>27</v>
      </c>
      <c r="P201" s="26">
        <v>25</v>
      </c>
      <c r="Q201" s="33">
        <f t="shared" si="44"/>
        <v>52</v>
      </c>
      <c r="R201" s="26">
        <v>22</v>
      </c>
      <c r="S201" s="26">
        <v>30</v>
      </c>
      <c r="T201" s="33">
        <f t="shared" si="45"/>
        <v>52</v>
      </c>
      <c r="U201" s="26">
        <v>32</v>
      </c>
      <c r="V201" s="26">
        <v>25</v>
      </c>
      <c r="W201" s="33">
        <f t="shared" si="46"/>
        <v>57</v>
      </c>
      <c r="X201" s="26"/>
      <c r="Y201" s="26"/>
      <c r="Z201" s="26"/>
      <c r="AA201" s="33">
        <f t="shared" si="47"/>
        <v>375</v>
      </c>
      <c r="AB201" s="26" t="s">
        <v>117</v>
      </c>
      <c r="AC201" s="29"/>
    </row>
    <row r="202" spans="1:29" ht="15.6" x14ac:dyDescent="0.3">
      <c r="A202" s="26">
        <v>34</v>
      </c>
      <c r="B202" s="29" t="s">
        <v>625</v>
      </c>
      <c r="C202" s="26">
        <v>39</v>
      </c>
      <c r="D202" s="26">
        <v>40</v>
      </c>
      <c r="E202" s="33">
        <f t="shared" si="40"/>
        <v>79</v>
      </c>
      <c r="F202" s="26">
        <v>36</v>
      </c>
      <c r="G202" s="26">
        <v>40</v>
      </c>
      <c r="H202" s="33">
        <f t="shared" si="41"/>
        <v>76</v>
      </c>
      <c r="I202" s="26">
        <v>27</v>
      </c>
      <c r="J202" s="26">
        <v>42</v>
      </c>
      <c r="K202" s="33">
        <f t="shared" si="42"/>
        <v>69</v>
      </c>
      <c r="L202" s="26">
        <v>33</v>
      </c>
      <c r="M202" s="26">
        <v>42</v>
      </c>
      <c r="N202" s="33">
        <f t="shared" si="43"/>
        <v>75</v>
      </c>
      <c r="O202" s="26">
        <v>26</v>
      </c>
      <c r="P202" s="26">
        <v>38</v>
      </c>
      <c r="Q202" s="33">
        <f t="shared" si="44"/>
        <v>64</v>
      </c>
      <c r="R202" s="26">
        <v>29</v>
      </c>
      <c r="S202" s="26">
        <v>43</v>
      </c>
      <c r="T202" s="33">
        <f t="shared" si="45"/>
        <v>72</v>
      </c>
      <c r="U202" s="26">
        <v>36</v>
      </c>
      <c r="V202" s="26">
        <v>26</v>
      </c>
      <c r="W202" s="33">
        <f t="shared" si="46"/>
        <v>62</v>
      </c>
      <c r="X202" s="26"/>
      <c r="Y202" s="26"/>
      <c r="Z202" s="26"/>
      <c r="AA202" s="33">
        <f t="shared" si="47"/>
        <v>497</v>
      </c>
      <c r="AB202" s="26" t="s">
        <v>117</v>
      </c>
      <c r="AC202" s="29"/>
    </row>
    <row r="203" spans="1:29" ht="15.6" x14ac:dyDescent="0.3">
      <c r="A203" s="26">
        <v>35</v>
      </c>
      <c r="B203" s="29" t="s">
        <v>626</v>
      </c>
      <c r="C203" s="26">
        <v>50</v>
      </c>
      <c r="D203" s="26">
        <v>50</v>
      </c>
      <c r="E203" s="33">
        <f t="shared" si="40"/>
        <v>100</v>
      </c>
      <c r="F203" s="26">
        <v>50</v>
      </c>
      <c r="G203" s="26">
        <v>50</v>
      </c>
      <c r="H203" s="33">
        <f t="shared" si="41"/>
        <v>100</v>
      </c>
      <c r="I203" s="26">
        <v>48</v>
      </c>
      <c r="J203" s="26">
        <v>46</v>
      </c>
      <c r="K203" s="33">
        <f t="shared" si="42"/>
        <v>94</v>
      </c>
      <c r="L203" s="26">
        <v>49</v>
      </c>
      <c r="M203" s="26">
        <v>46</v>
      </c>
      <c r="N203" s="33">
        <f t="shared" si="43"/>
        <v>95</v>
      </c>
      <c r="O203" s="26">
        <v>42</v>
      </c>
      <c r="P203" s="26">
        <v>50</v>
      </c>
      <c r="Q203" s="33">
        <f t="shared" si="44"/>
        <v>92</v>
      </c>
      <c r="R203" s="26">
        <v>45</v>
      </c>
      <c r="S203" s="26">
        <v>48</v>
      </c>
      <c r="T203" s="33">
        <f t="shared" si="45"/>
        <v>93</v>
      </c>
      <c r="U203" s="26">
        <v>49</v>
      </c>
      <c r="V203" s="26">
        <v>45</v>
      </c>
      <c r="W203" s="33">
        <f t="shared" si="46"/>
        <v>94</v>
      </c>
      <c r="X203" s="26"/>
      <c r="Y203" s="26"/>
      <c r="Z203" s="26"/>
      <c r="AA203" s="33">
        <f t="shared" si="47"/>
        <v>668</v>
      </c>
      <c r="AB203" s="26" t="s">
        <v>117</v>
      </c>
      <c r="AC203" s="29"/>
    </row>
    <row r="204" spans="1:29" ht="15.6" x14ac:dyDescent="0.3">
      <c r="A204" s="26">
        <v>36</v>
      </c>
      <c r="B204" s="29" t="s">
        <v>627</v>
      </c>
      <c r="C204" s="26">
        <v>45</v>
      </c>
      <c r="D204" s="26">
        <v>48</v>
      </c>
      <c r="E204" s="33">
        <f t="shared" si="40"/>
        <v>93</v>
      </c>
      <c r="F204" s="26">
        <v>49</v>
      </c>
      <c r="G204" s="26">
        <v>45</v>
      </c>
      <c r="H204" s="33">
        <f t="shared" si="41"/>
        <v>94</v>
      </c>
      <c r="I204" s="26">
        <v>42</v>
      </c>
      <c r="J204" s="26">
        <v>43</v>
      </c>
      <c r="K204" s="33">
        <f t="shared" si="42"/>
        <v>85</v>
      </c>
      <c r="L204" s="26">
        <v>44</v>
      </c>
      <c r="M204" s="26">
        <v>42</v>
      </c>
      <c r="N204" s="33">
        <f t="shared" si="43"/>
        <v>86</v>
      </c>
      <c r="O204" s="26">
        <v>28</v>
      </c>
      <c r="P204" s="26">
        <v>43</v>
      </c>
      <c r="Q204" s="33">
        <f t="shared" si="44"/>
        <v>71</v>
      </c>
      <c r="R204" s="26">
        <v>39</v>
      </c>
      <c r="S204" s="26">
        <v>40</v>
      </c>
      <c r="T204" s="33">
        <f t="shared" si="45"/>
        <v>79</v>
      </c>
      <c r="U204" s="26">
        <v>33</v>
      </c>
      <c r="V204" s="26">
        <v>35</v>
      </c>
      <c r="W204" s="33">
        <f t="shared" si="46"/>
        <v>68</v>
      </c>
      <c r="X204" s="26"/>
      <c r="Y204" s="26"/>
      <c r="Z204" s="26"/>
      <c r="AA204" s="33">
        <f t="shared" si="47"/>
        <v>576</v>
      </c>
      <c r="AB204" s="26" t="s">
        <v>117</v>
      </c>
      <c r="AC204" s="29"/>
    </row>
    <row r="205" spans="1:29" ht="15.6" x14ac:dyDescent="0.3">
      <c r="A205" s="26">
        <v>37</v>
      </c>
      <c r="B205" s="29" t="s">
        <v>628</v>
      </c>
      <c r="C205" s="26">
        <v>29</v>
      </c>
      <c r="D205" s="26">
        <v>25</v>
      </c>
      <c r="E205" s="33">
        <f t="shared" si="40"/>
        <v>54</v>
      </c>
      <c r="F205" s="26">
        <v>29</v>
      </c>
      <c r="G205" s="26">
        <v>29</v>
      </c>
      <c r="H205" s="33">
        <f t="shared" si="41"/>
        <v>58</v>
      </c>
      <c r="I205" s="26">
        <v>28</v>
      </c>
      <c r="J205" s="26">
        <v>25</v>
      </c>
      <c r="K205" s="33">
        <f t="shared" si="42"/>
        <v>53</v>
      </c>
      <c r="L205" s="26">
        <v>31</v>
      </c>
      <c r="M205" s="26">
        <v>26</v>
      </c>
      <c r="N205" s="33">
        <f t="shared" si="43"/>
        <v>57</v>
      </c>
      <c r="O205" s="26">
        <v>25</v>
      </c>
      <c r="P205" s="26">
        <v>27</v>
      </c>
      <c r="Q205" s="33">
        <f t="shared" si="44"/>
        <v>52</v>
      </c>
      <c r="R205" s="26">
        <v>25</v>
      </c>
      <c r="S205" s="26">
        <v>28</v>
      </c>
      <c r="T205" s="33">
        <f t="shared" si="45"/>
        <v>53</v>
      </c>
      <c r="U205" s="26">
        <v>31</v>
      </c>
      <c r="V205" s="26">
        <v>30</v>
      </c>
      <c r="W205" s="33">
        <f t="shared" si="46"/>
        <v>61</v>
      </c>
      <c r="X205" s="26"/>
      <c r="Y205" s="26"/>
      <c r="Z205" s="26"/>
      <c r="AA205" s="33">
        <f t="shared" si="47"/>
        <v>388</v>
      </c>
      <c r="AB205" s="26" t="s">
        <v>117</v>
      </c>
      <c r="AC205" s="29"/>
    </row>
    <row r="206" spans="1:29" ht="15.6" x14ac:dyDescent="0.3">
      <c r="A206" s="26">
        <v>38</v>
      </c>
      <c r="B206" s="29" t="s">
        <v>297</v>
      </c>
      <c r="C206" s="26">
        <v>47</v>
      </c>
      <c r="D206" s="26">
        <v>47</v>
      </c>
      <c r="E206" s="33">
        <f t="shared" si="40"/>
        <v>94</v>
      </c>
      <c r="F206" s="26">
        <v>50</v>
      </c>
      <c r="G206" s="26">
        <v>50</v>
      </c>
      <c r="H206" s="33">
        <f t="shared" si="41"/>
        <v>100</v>
      </c>
      <c r="I206" s="26">
        <v>48</v>
      </c>
      <c r="J206" s="26">
        <v>46</v>
      </c>
      <c r="K206" s="33">
        <f t="shared" si="42"/>
        <v>94</v>
      </c>
      <c r="L206" s="26">
        <v>50</v>
      </c>
      <c r="M206" s="26">
        <v>50</v>
      </c>
      <c r="N206" s="33">
        <f t="shared" si="43"/>
        <v>100</v>
      </c>
      <c r="O206" s="26">
        <v>44</v>
      </c>
      <c r="P206" s="26">
        <v>43</v>
      </c>
      <c r="Q206" s="33">
        <f t="shared" si="44"/>
        <v>87</v>
      </c>
      <c r="R206" s="26">
        <v>41</v>
      </c>
      <c r="S206" s="26">
        <v>46</v>
      </c>
      <c r="T206" s="33">
        <f t="shared" si="45"/>
        <v>87</v>
      </c>
      <c r="U206" s="26">
        <v>44</v>
      </c>
      <c r="V206" s="26">
        <v>41</v>
      </c>
      <c r="W206" s="33">
        <f t="shared" si="46"/>
        <v>85</v>
      </c>
      <c r="X206" s="26"/>
      <c r="Y206" s="26"/>
      <c r="Z206" s="26"/>
      <c r="AA206" s="33">
        <f t="shared" si="47"/>
        <v>647</v>
      </c>
      <c r="AB206" s="26" t="s">
        <v>117</v>
      </c>
      <c r="AC206" s="29"/>
    </row>
    <row r="207" spans="1:29" ht="15.6" x14ac:dyDescent="0.3">
      <c r="A207" s="26">
        <v>39</v>
      </c>
      <c r="B207" s="29" t="s">
        <v>298</v>
      </c>
      <c r="C207" s="26">
        <v>45</v>
      </c>
      <c r="D207" s="26">
        <v>40</v>
      </c>
      <c r="E207" s="33">
        <f t="shared" si="40"/>
        <v>85</v>
      </c>
      <c r="F207" s="26">
        <v>50</v>
      </c>
      <c r="G207" s="26">
        <v>45</v>
      </c>
      <c r="H207" s="33">
        <f t="shared" si="41"/>
        <v>95</v>
      </c>
      <c r="I207" s="26">
        <v>38</v>
      </c>
      <c r="J207" s="26">
        <v>40</v>
      </c>
      <c r="K207" s="33">
        <f t="shared" si="42"/>
        <v>78</v>
      </c>
      <c r="L207" s="26">
        <v>45</v>
      </c>
      <c r="M207" s="26">
        <v>30</v>
      </c>
      <c r="N207" s="33">
        <f t="shared" si="43"/>
        <v>75</v>
      </c>
      <c r="O207" s="26">
        <v>27</v>
      </c>
      <c r="P207" s="26">
        <v>32</v>
      </c>
      <c r="Q207" s="33">
        <f t="shared" si="44"/>
        <v>59</v>
      </c>
      <c r="R207" s="26">
        <v>34</v>
      </c>
      <c r="S207" s="26">
        <v>40</v>
      </c>
      <c r="T207" s="33">
        <f t="shared" si="45"/>
        <v>74</v>
      </c>
      <c r="U207" s="26">
        <v>29</v>
      </c>
      <c r="V207" s="26">
        <v>35</v>
      </c>
      <c r="W207" s="33">
        <f t="shared" si="46"/>
        <v>64</v>
      </c>
      <c r="X207" s="26"/>
      <c r="Y207" s="26"/>
      <c r="Z207" s="26"/>
      <c r="AA207" s="33">
        <f t="shared" si="47"/>
        <v>530</v>
      </c>
      <c r="AB207" s="26" t="s">
        <v>117</v>
      </c>
      <c r="AC207" s="29"/>
    </row>
    <row r="208" spans="1:29" ht="15.6" x14ac:dyDescent="0.3">
      <c r="A208" s="26">
        <v>40</v>
      </c>
      <c r="B208" s="29" t="s">
        <v>629</v>
      </c>
      <c r="C208" s="26">
        <v>50</v>
      </c>
      <c r="D208" s="26">
        <v>49</v>
      </c>
      <c r="E208" s="33">
        <f t="shared" si="40"/>
        <v>99</v>
      </c>
      <c r="F208" s="26">
        <v>50</v>
      </c>
      <c r="G208" s="26">
        <v>50</v>
      </c>
      <c r="H208" s="33">
        <f t="shared" si="41"/>
        <v>100</v>
      </c>
      <c r="I208" s="26">
        <v>44</v>
      </c>
      <c r="J208" s="26">
        <v>45</v>
      </c>
      <c r="K208" s="33">
        <f t="shared" si="42"/>
        <v>89</v>
      </c>
      <c r="L208" s="26">
        <v>47</v>
      </c>
      <c r="M208" s="26">
        <v>42</v>
      </c>
      <c r="N208" s="33">
        <f t="shared" si="43"/>
        <v>89</v>
      </c>
      <c r="O208" s="26">
        <v>47</v>
      </c>
      <c r="P208" s="26">
        <v>50</v>
      </c>
      <c r="Q208" s="33">
        <f t="shared" si="44"/>
        <v>97</v>
      </c>
      <c r="R208" s="26">
        <v>40</v>
      </c>
      <c r="S208" s="26">
        <v>49</v>
      </c>
      <c r="T208" s="33">
        <f t="shared" si="45"/>
        <v>89</v>
      </c>
      <c r="U208" s="26">
        <v>41</v>
      </c>
      <c r="V208" s="26">
        <v>50</v>
      </c>
      <c r="W208" s="33">
        <f t="shared" si="46"/>
        <v>91</v>
      </c>
      <c r="X208" s="26"/>
      <c r="Y208" s="26"/>
      <c r="Z208" s="26"/>
      <c r="AA208" s="33">
        <f t="shared" si="47"/>
        <v>654</v>
      </c>
      <c r="AB208" s="26" t="s">
        <v>117</v>
      </c>
      <c r="AC208" s="29"/>
    </row>
    <row r="209" spans="1:29" x14ac:dyDescent="0.25">
      <c r="A209" s="3" t="s">
        <v>429</v>
      </c>
      <c r="B209" s="3"/>
      <c r="C209" s="3"/>
      <c r="D209" s="3"/>
      <c r="E209" s="3"/>
      <c r="F209" s="3"/>
      <c r="G209" s="3" t="s">
        <v>468</v>
      </c>
      <c r="H209" s="3"/>
      <c r="I209" s="3"/>
      <c r="J209" s="3"/>
      <c r="K209" s="3"/>
      <c r="L209" s="3"/>
      <c r="M209" s="3"/>
      <c r="N209" s="3"/>
      <c r="O209" s="3" t="s">
        <v>82</v>
      </c>
      <c r="P209" s="3"/>
      <c r="Q209" s="3"/>
      <c r="R209" s="3"/>
      <c r="S209" s="3"/>
      <c r="T209" s="3"/>
      <c r="U209" s="3" t="s">
        <v>83</v>
      </c>
      <c r="V209" s="3"/>
      <c r="W209" s="3"/>
      <c r="X209" s="3"/>
      <c r="Y209" s="3"/>
      <c r="Z209" s="3"/>
      <c r="AA209" s="3"/>
      <c r="AB209" s="3" t="s">
        <v>84</v>
      </c>
    </row>
    <row r="210" spans="1:29" x14ac:dyDescent="0.25">
      <c r="A210" s="22" t="s">
        <v>89</v>
      </c>
      <c r="B210" s="22"/>
      <c r="C210" s="22"/>
      <c r="D210" s="22"/>
      <c r="E210" s="22"/>
      <c r="F210" s="22" t="s">
        <v>90</v>
      </c>
      <c r="G210" s="22"/>
      <c r="H210" s="22"/>
      <c r="I210" s="22"/>
      <c r="J210" s="22"/>
      <c r="K210" s="22"/>
      <c r="L210" s="22"/>
      <c r="M210" s="22"/>
      <c r="N210" s="22" t="s">
        <v>462</v>
      </c>
      <c r="O210" s="22"/>
      <c r="P210" s="22"/>
      <c r="Q210" s="22"/>
      <c r="R210" s="22"/>
      <c r="S210" s="22"/>
      <c r="T210" s="22" t="s">
        <v>463</v>
      </c>
      <c r="U210" s="22"/>
      <c r="V210" s="22"/>
      <c r="W210" s="22"/>
      <c r="X210" s="22"/>
      <c r="Y210" s="22"/>
      <c r="Z210" s="3"/>
      <c r="AA210" s="3"/>
      <c r="AB210" s="3" t="s">
        <v>85</v>
      </c>
    </row>
    <row r="211" spans="1:29" x14ac:dyDescent="0.25">
      <c r="A211" s="22" t="s">
        <v>466</v>
      </c>
      <c r="B211" s="22"/>
      <c r="C211" s="22"/>
      <c r="D211" s="22"/>
      <c r="E211" s="22"/>
      <c r="F211" s="22" t="s">
        <v>91</v>
      </c>
      <c r="G211" s="22"/>
      <c r="H211" s="22"/>
      <c r="I211" s="22"/>
      <c r="J211" s="22"/>
      <c r="K211" s="22"/>
      <c r="L211" s="22"/>
      <c r="M211" s="22"/>
      <c r="N211" s="22" t="s">
        <v>94</v>
      </c>
      <c r="O211" s="22"/>
      <c r="P211" s="22"/>
      <c r="Q211" s="22"/>
      <c r="R211" s="22"/>
      <c r="S211" s="22"/>
      <c r="T211" s="22" t="s">
        <v>97</v>
      </c>
      <c r="U211" s="22"/>
      <c r="V211" s="22"/>
      <c r="W211" s="22"/>
      <c r="X211" s="22"/>
      <c r="Y211" s="22"/>
      <c r="Z211" s="3"/>
      <c r="AA211" s="3"/>
      <c r="AB211" s="3" t="s">
        <v>99</v>
      </c>
    </row>
    <row r="212" spans="1:29" x14ac:dyDescent="0.25">
      <c r="A212" s="22" t="s">
        <v>89</v>
      </c>
      <c r="B212" s="22"/>
      <c r="C212" s="22"/>
      <c r="D212" s="22"/>
      <c r="E212" s="22"/>
      <c r="F212" s="22" t="s">
        <v>92</v>
      </c>
      <c r="G212" s="22"/>
      <c r="H212" s="22"/>
      <c r="I212" s="22"/>
      <c r="J212" s="22"/>
      <c r="K212" s="22"/>
      <c r="L212" s="22"/>
      <c r="M212" s="22"/>
      <c r="N212" s="22" t="s">
        <v>95</v>
      </c>
      <c r="O212" s="22"/>
      <c r="P212" s="22"/>
      <c r="Q212" s="22"/>
      <c r="R212" s="22"/>
      <c r="S212" s="22"/>
      <c r="T212" s="22" t="s">
        <v>98</v>
      </c>
      <c r="U212" s="22"/>
      <c r="V212" s="22"/>
      <c r="W212" s="22"/>
      <c r="X212" s="22"/>
      <c r="Y212" s="22"/>
      <c r="Z212" s="3"/>
      <c r="AA212" s="3"/>
      <c r="AB212" s="3"/>
    </row>
    <row r="215" spans="1:29" ht="15.6" x14ac:dyDescent="0.3">
      <c r="A215" s="6"/>
      <c r="B215" s="15" t="s">
        <v>494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 t="s">
        <v>467</v>
      </c>
      <c r="N215" s="6"/>
      <c r="O215" s="6"/>
      <c r="P215" s="6"/>
      <c r="Q215" s="6"/>
      <c r="R215" s="6"/>
      <c r="S215" s="6"/>
      <c r="T215" s="6"/>
      <c r="U215" s="6"/>
      <c r="V215" s="6"/>
      <c r="W215" s="5"/>
      <c r="X215" s="6"/>
      <c r="Y215" s="6"/>
      <c r="Z215" s="6"/>
      <c r="AA215" s="5"/>
      <c r="AB215" s="5" t="s">
        <v>456</v>
      </c>
      <c r="AC215" s="6"/>
    </row>
    <row r="216" spans="1:29" ht="15.6" x14ac:dyDescent="0.3">
      <c r="A216" s="6"/>
      <c r="B216" s="15" t="s">
        <v>81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5"/>
      <c r="X216" s="6"/>
      <c r="Y216" s="6"/>
      <c r="Z216" s="6"/>
      <c r="AA216" s="5"/>
      <c r="AB216" s="5" t="s">
        <v>100</v>
      </c>
      <c r="AC216" s="6"/>
    </row>
    <row r="217" spans="1:29" ht="15.6" x14ac:dyDescent="0.3">
      <c r="A217" s="6"/>
      <c r="B217" s="15" t="s">
        <v>459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/>
      <c r="X217" s="6"/>
      <c r="Y217" s="6"/>
      <c r="Z217" s="6"/>
      <c r="AA217" s="5"/>
      <c r="AB217" s="5" t="s">
        <v>158</v>
      </c>
      <c r="AC217" s="6"/>
    </row>
    <row r="218" spans="1:29" ht="15.6" x14ac:dyDescent="0.3">
      <c r="A218" s="6"/>
      <c r="B218" s="15" t="s">
        <v>460</v>
      </c>
      <c r="C218" s="6"/>
      <c r="D218" s="6"/>
      <c r="E218" s="6"/>
      <c r="F218" s="6"/>
      <c r="G218" s="6"/>
      <c r="H218" s="6"/>
      <c r="I218" s="6"/>
      <c r="J218" s="6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/>
      <c r="X218" s="6"/>
      <c r="Y218" s="6"/>
      <c r="Z218" s="6"/>
      <c r="AA218" s="5"/>
      <c r="AB218" s="5" t="s">
        <v>383</v>
      </c>
      <c r="AC218" s="6"/>
    </row>
    <row r="219" spans="1:29" ht="15.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/>
      <c r="X219" s="6"/>
      <c r="Y219" s="6"/>
      <c r="Z219" s="6"/>
      <c r="AA219" s="5"/>
      <c r="AB219" s="5" t="s">
        <v>385</v>
      </c>
      <c r="AC219" s="6"/>
    </row>
    <row r="220" spans="1:29" ht="15.6" x14ac:dyDescent="0.3">
      <c r="A220" s="6"/>
      <c r="B220" s="6"/>
      <c r="C220" s="5" t="s">
        <v>482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/>
      <c r="X220" s="6"/>
      <c r="Y220" s="6"/>
      <c r="Z220" s="6"/>
      <c r="AA220" s="5"/>
      <c r="AB220" s="5"/>
      <c r="AC220" s="6"/>
    </row>
    <row r="221" spans="1:29" ht="15.6" x14ac:dyDescent="0.3">
      <c r="A221" s="57" t="s">
        <v>0</v>
      </c>
      <c r="B221" s="66" t="s">
        <v>469</v>
      </c>
      <c r="C221" s="60" t="s">
        <v>458</v>
      </c>
      <c r="D221" s="61"/>
      <c r="E221" s="62"/>
      <c r="F221" s="60" t="s">
        <v>1</v>
      </c>
      <c r="G221" s="61"/>
      <c r="H221" s="62"/>
      <c r="I221" s="60" t="s">
        <v>2</v>
      </c>
      <c r="J221" s="61"/>
      <c r="K221" s="62"/>
      <c r="L221" s="60" t="s">
        <v>8</v>
      </c>
      <c r="M221" s="61"/>
      <c r="N221" s="62"/>
      <c r="O221" s="60" t="s">
        <v>3</v>
      </c>
      <c r="P221" s="61"/>
      <c r="Q221" s="62"/>
      <c r="R221" s="31"/>
      <c r="S221" s="31" t="s">
        <v>4</v>
      </c>
      <c r="T221" s="31"/>
      <c r="U221" s="60" t="s">
        <v>5</v>
      </c>
      <c r="V221" s="61"/>
      <c r="W221" s="62"/>
      <c r="X221" s="57" t="s">
        <v>16</v>
      </c>
      <c r="Y221" s="57" t="s">
        <v>17</v>
      </c>
      <c r="Z221" s="57" t="s">
        <v>18</v>
      </c>
      <c r="AA221" s="57" t="s">
        <v>19</v>
      </c>
      <c r="AB221" s="57" t="s">
        <v>20</v>
      </c>
      <c r="AC221" s="57" t="s">
        <v>21</v>
      </c>
    </row>
    <row r="222" spans="1:29" ht="55.2" x14ac:dyDescent="0.25">
      <c r="A222" s="58"/>
      <c r="B222" s="67"/>
      <c r="C222" s="32" t="s">
        <v>6</v>
      </c>
      <c r="D222" s="32" t="s">
        <v>461</v>
      </c>
      <c r="E222" s="32" t="s">
        <v>7</v>
      </c>
      <c r="F222" s="32" t="s">
        <v>6</v>
      </c>
      <c r="G222" s="32" t="s">
        <v>461</v>
      </c>
      <c r="H222" s="32" t="s">
        <v>7</v>
      </c>
      <c r="I222" s="32" t="s">
        <v>6</v>
      </c>
      <c r="J222" s="32" t="s">
        <v>461</v>
      </c>
      <c r="K222" s="32" t="s">
        <v>7</v>
      </c>
      <c r="L222" s="32" t="s">
        <v>6</v>
      </c>
      <c r="M222" s="32" t="s">
        <v>461</v>
      </c>
      <c r="N222" s="32" t="s">
        <v>7</v>
      </c>
      <c r="O222" s="32" t="s">
        <v>6</v>
      </c>
      <c r="P222" s="32" t="s">
        <v>461</v>
      </c>
      <c r="Q222" s="32" t="s">
        <v>7</v>
      </c>
      <c r="R222" s="32" t="s">
        <v>6</v>
      </c>
      <c r="S222" s="32" t="s">
        <v>461</v>
      </c>
      <c r="T222" s="32" t="s">
        <v>7</v>
      </c>
      <c r="U222" s="32" t="s">
        <v>6</v>
      </c>
      <c r="V222" s="32" t="s">
        <v>461</v>
      </c>
      <c r="W222" s="32" t="s">
        <v>7</v>
      </c>
      <c r="X222" s="58"/>
      <c r="Y222" s="58"/>
      <c r="Z222" s="58"/>
      <c r="AA222" s="58"/>
      <c r="AB222" s="58"/>
      <c r="AC222" s="58"/>
    </row>
    <row r="223" spans="1:29" ht="15.6" x14ac:dyDescent="0.3">
      <c r="A223" s="59"/>
      <c r="B223" s="68"/>
      <c r="C223" s="33">
        <v>50</v>
      </c>
      <c r="D223" s="33">
        <v>50</v>
      </c>
      <c r="E223" s="33">
        <v>100</v>
      </c>
      <c r="F223" s="33">
        <v>50</v>
      </c>
      <c r="G223" s="33">
        <v>50</v>
      </c>
      <c r="H223" s="33">
        <v>100</v>
      </c>
      <c r="I223" s="33">
        <v>50</v>
      </c>
      <c r="J223" s="33">
        <v>50</v>
      </c>
      <c r="K223" s="33">
        <v>100</v>
      </c>
      <c r="L223" s="33">
        <v>50</v>
      </c>
      <c r="M223" s="33">
        <v>50</v>
      </c>
      <c r="N223" s="33">
        <v>100</v>
      </c>
      <c r="O223" s="33">
        <v>50</v>
      </c>
      <c r="P223" s="33">
        <v>50</v>
      </c>
      <c r="Q223" s="33">
        <v>100</v>
      </c>
      <c r="R223" s="33">
        <v>50</v>
      </c>
      <c r="S223" s="33">
        <v>50</v>
      </c>
      <c r="T223" s="33">
        <v>100</v>
      </c>
      <c r="U223" s="33">
        <v>50</v>
      </c>
      <c r="V223" s="33">
        <v>50</v>
      </c>
      <c r="W223" s="33">
        <v>100</v>
      </c>
      <c r="X223" s="59"/>
      <c r="Y223" s="59"/>
      <c r="Z223" s="59"/>
      <c r="AA223" s="59"/>
      <c r="AB223" s="59"/>
      <c r="AC223" s="59"/>
    </row>
    <row r="224" spans="1:29" ht="15.6" x14ac:dyDescent="0.3">
      <c r="A224" s="26">
        <v>41</v>
      </c>
      <c r="B224" s="29" t="s">
        <v>630</v>
      </c>
      <c r="C224" s="26">
        <v>25</v>
      </c>
      <c r="D224" s="26">
        <v>27</v>
      </c>
      <c r="E224" s="33">
        <f t="shared" ref="E224:E243" si="48">SUM(C224:D224)</f>
        <v>52</v>
      </c>
      <c r="F224" s="26">
        <v>22</v>
      </c>
      <c r="G224" s="26">
        <v>34</v>
      </c>
      <c r="H224" s="33">
        <f t="shared" ref="H224:H233" si="49">SUM(F224:G224)</f>
        <v>56</v>
      </c>
      <c r="I224" s="26">
        <v>25</v>
      </c>
      <c r="J224" s="26">
        <v>25</v>
      </c>
      <c r="K224" s="33">
        <f t="shared" ref="K224:K233" si="50">SUM(I224:J224)</f>
        <v>50</v>
      </c>
      <c r="L224" s="26">
        <v>31</v>
      </c>
      <c r="M224" s="26">
        <v>25</v>
      </c>
      <c r="N224" s="33">
        <f t="shared" ref="N224:N233" si="51">SUM(L224:M224)</f>
        <v>56</v>
      </c>
      <c r="O224" s="26">
        <v>42</v>
      </c>
      <c r="P224" s="26">
        <v>46</v>
      </c>
      <c r="Q224" s="33">
        <f t="shared" ref="Q224:Q243" si="52">SUM(O224:P224)</f>
        <v>88</v>
      </c>
      <c r="R224" s="26">
        <v>25</v>
      </c>
      <c r="S224" s="26">
        <v>33</v>
      </c>
      <c r="T224" s="33">
        <f t="shared" ref="T224:T243" si="53">SUM(R224:S224)</f>
        <v>58</v>
      </c>
      <c r="U224" s="26">
        <v>25</v>
      </c>
      <c r="V224" s="26">
        <v>25</v>
      </c>
      <c r="W224" s="33">
        <f t="shared" ref="W224:W240" si="54">SUM(U224:V224)</f>
        <v>50</v>
      </c>
      <c r="X224" s="30"/>
      <c r="Y224" s="30"/>
      <c r="Z224" s="30"/>
      <c r="AA224" s="33">
        <f t="shared" ref="AA224:AA243" si="55">SUM(W224,T224,Q224,N224,K224,H224,E224)</f>
        <v>410</v>
      </c>
      <c r="AB224" s="26" t="s">
        <v>117</v>
      </c>
      <c r="AC224" s="28"/>
    </row>
    <row r="225" spans="1:29" ht="15.6" x14ac:dyDescent="0.3">
      <c r="A225" s="26">
        <v>42</v>
      </c>
      <c r="B225" s="29" t="s">
        <v>299</v>
      </c>
      <c r="C225" s="26">
        <v>36</v>
      </c>
      <c r="D225" s="26">
        <v>46</v>
      </c>
      <c r="E225" s="33">
        <f t="shared" si="48"/>
        <v>82</v>
      </c>
      <c r="F225" s="26">
        <v>40</v>
      </c>
      <c r="G225" s="26">
        <v>44</v>
      </c>
      <c r="H225" s="33">
        <f t="shared" si="49"/>
        <v>84</v>
      </c>
      <c r="I225" s="26">
        <v>25</v>
      </c>
      <c r="J225" s="26">
        <v>33</v>
      </c>
      <c r="K225" s="33">
        <f t="shared" si="50"/>
        <v>58</v>
      </c>
      <c r="L225" s="26">
        <v>37</v>
      </c>
      <c r="M225" s="26">
        <v>40</v>
      </c>
      <c r="N225" s="33">
        <f t="shared" si="51"/>
        <v>77</v>
      </c>
      <c r="O225" s="26">
        <v>33</v>
      </c>
      <c r="P225" s="26">
        <v>36</v>
      </c>
      <c r="Q225" s="33">
        <f t="shared" si="52"/>
        <v>69</v>
      </c>
      <c r="R225" s="26">
        <v>29</v>
      </c>
      <c r="S225" s="26">
        <v>36</v>
      </c>
      <c r="T225" s="33">
        <f t="shared" si="53"/>
        <v>65</v>
      </c>
      <c r="U225" s="26">
        <v>31</v>
      </c>
      <c r="V225" s="26">
        <v>25</v>
      </c>
      <c r="W225" s="33">
        <f t="shared" si="54"/>
        <v>56</v>
      </c>
      <c r="X225" s="30"/>
      <c r="Y225" s="30"/>
      <c r="Z225" s="30"/>
      <c r="AA225" s="33">
        <f t="shared" si="55"/>
        <v>491</v>
      </c>
      <c r="AB225" s="26" t="s">
        <v>117</v>
      </c>
      <c r="AC225" s="28"/>
    </row>
    <row r="226" spans="1:29" ht="15.6" x14ac:dyDescent="0.3">
      <c r="A226" s="26">
        <v>43</v>
      </c>
      <c r="B226" s="29" t="s">
        <v>300</v>
      </c>
      <c r="C226" s="26">
        <v>49</v>
      </c>
      <c r="D226" s="26">
        <v>45</v>
      </c>
      <c r="E226" s="33">
        <f t="shared" si="48"/>
        <v>94</v>
      </c>
      <c r="F226" s="26">
        <v>50</v>
      </c>
      <c r="G226" s="26">
        <v>48</v>
      </c>
      <c r="H226" s="33">
        <f t="shared" si="49"/>
        <v>98</v>
      </c>
      <c r="I226" s="26">
        <v>47</v>
      </c>
      <c r="J226" s="26">
        <v>45</v>
      </c>
      <c r="K226" s="33">
        <f t="shared" si="50"/>
        <v>92</v>
      </c>
      <c r="L226" s="26">
        <v>42</v>
      </c>
      <c r="M226" s="26">
        <v>40</v>
      </c>
      <c r="N226" s="33">
        <f t="shared" si="51"/>
        <v>82</v>
      </c>
      <c r="O226" s="26">
        <v>47</v>
      </c>
      <c r="P226" s="26">
        <v>30</v>
      </c>
      <c r="Q226" s="33">
        <f t="shared" si="52"/>
        <v>77</v>
      </c>
      <c r="R226" s="26">
        <v>36</v>
      </c>
      <c r="S226" s="26">
        <v>35</v>
      </c>
      <c r="T226" s="33">
        <f t="shared" si="53"/>
        <v>71</v>
      </c>
      <c r="U226" s="26">
        <v>37</v>
      </c>
      <c r="V226" s="26">
        <v>35</v>
      </c>
      <c r="W226" s="33">
        <f t="shared" si="54"/>
        <v>72</v>
      </c>
      <c r="X226" s="30"/>
      <c r="Y226" s="30"/>
      <c r="Z226" s="30"/>
      <c r="AA226" s="33">
        <f t="shared" si="55"/>
        <v>586</v>
      </c>
      <c r="AB226" s="26" t="s">
        <v>117</v>
      </c>
      <c r="AC226" s="28"/>
    </row>
    <row r="227" spans="1:29" ht="15.6" x14ac:dyDescent="0.3">
      <c r="A227" s="26">
        <v>44</v>
      </c>
      <c r="B227" s="29" t="s">
        <v>301</v>
      </c>
      <c r="C227" s="26">
        <v>29</v>
      </c>
      <c r="D227" s="26">
        <v>22</v>
      </c>
      <c r="E227" s="33">
        <f t="shared" si="48"/>
        <v>51</v>
      </c>
      <c r="F227" s="26">
        <v>29</v>
      </c>
      <c r="G227" s="26">
        <v>31</v>
      </c>
      <c r="H227" s="33">
        <f t="shared" si="49"/>
        <v>60</v>
      </c>
      <c r="I227" s="26">
        <v>31</v>
      </c>
      <c r="J227" s="26">
        <v>25</v>
      </c>
      <c r="K227" s="33">
        <f t="shared" si="50"/>
        <v>56</v>
      </c>
      <c r="L227" s="26">
        <v>33</v>
      </c>
      <c r="M227" s="26">
        <v>25</v>
      </c>
      <c r="N227" s="33">
        <f t="shared" si="51"/>
        <v>58</v>
      </c>
      <c r="O227" s="26">
        <v>36</v>
      </c>
      <c r="P227" s="26">
        <v>26</v>
      </c>
      <c r="Q227" s="33">
        <f t="shared" si="52"/>
        <v>62</v>
      </c>
      <c r="R227" s="26">
        <v>29</v>
      </c>
      <c r="S227" s="26">
        <v>35</v>
      </c>
      <c r="T227" s="33">
        <f t="shared" si="53"/>
        <v>64</v>
      </c>
      <c r="U227" s="26">
        <v>25</v>
      </c>
      <c r="V227" s="26">
        <v>25</v>
      </c>
      <c r="W227" s="33">
        <f t="shared" si="54"/>
        <v>50</v>
      </c>
      <c r="X227" s="30"/>
      <c r="Y227" s="30"/>
      <c r="Z227" s="30"/>
      <c r="AA227" s="33">
        <f t="shared" si="55"/>
        <v>401</v>
      </c>
      <c r="AB227" s="26" t="s">
        <v>117</v>
      </c>
      <c r="AC227" s="28"/>
    </row>
    <row r="228" spans="1:29" ht="15.6" x14ac:dyDescent="0.3">
      <c r="A228" s="26">
        <v>45</v>
      </c>
      <c r="B228" s="29" t="s">
        <v>302</v>
      </c>
      <c r="C228" s="26">
        <v>50</v>
      </c>
      <c r="D228" s="26">
        <v>50</v>
      </c>
      <c r="E228" s="33">
        <f t="shared" si="48"/>
        <v>100</v>
      </c>
      <c r="F228" s="26">
        <v>50</v>
      </c>
      <c r="G228" s="26">
        <v>50</v>
      </c>
      <c r="H228" s="33">
        <f t="shared" si="49"/>
        <v>100</v>
      </c>
      <c r="I228" s="26">
        <v>49</v>
      </c>
      <c r="J228" s="26">
        <v>50</v>
      </c>
      <c r="K228" s="33">
        <f t="shared" si="50"/>
        <v>99</v>
      </c>
      <c r="L228" s="26">
        <v>50</v>
      </c>
      <c r="M228" s="26">
        <v>50</v>
      </c>
      <c r="N228" s="33">
        <f t="shared" si="51"/>
        <v>100</v>
      </c>
      <c r="O228" s="26">
        <v>50</v>
      </c>
      <c r="P228" s="26">
        <v>50</v>
      </c>
      <c r="Q228" s="33">
        <f t="shared" si="52"/>
        <v>100</v>
      </c>
      <c r="R228" s="26">
        <v>48</v>
      </c>
      <c r="S228" s="26">
        <v>50</v>
      </c>
      <c r="T228" s="33">
        <f t="shared" si="53"/>
        <v>98</v>
      </c>
      <c r="U228" s="26">
        <v>50</v>
      </c>
      <c r="V228" s="26">
        <v>50</v>
      </c>
      <c r="W228" s="33">
        <f t="shared" si="54"/>
        <v>100</v>
      </c>
      <c r="X228" s="30"/>
      <c r="Y228" s="30"/>
      <c r="Z228" s="30"/>
      <c r="AA228" s="33">
        <f t="shared" si="55"/>
        <v>697</v>
      </c>
      <c r="AB228" s="26" t="s">
        <v>117</v>
      </c>
      <c r="AC228" s="28"/>
    </row>
    <row r="229" spans="1:29" ht="15.6" x14ac:dyDescent="0.3">
      <c r="A229" s="26">
        <v>46</v>
      </c>
      <c r="B229" s="29" t="s">
        <v>303</v>
      </c>
      <c r="C229" s="26">
        <v>34</v>
      </c>
      <c r="D229" s="26">
        <v>39</v>
      </c>
      <c r="E229" s="33">
        <f t="shared" si="48"/>
        <v>73</v>
      </c>
      <c r="F229" s="26">
        <v>46</v>
      </c>
      <c r="G229" s="26">
        <v>32</v>
      </c>
      <c r="H229" s="33">
        <f t="shared" si="49"/>
        <v>78</v>
      </c>
      <c r="I229" s="26">
        <v>39</v>
      </c>
      <c r="J229" s="26">
        <v>38</v>
      </c>
      <c r="K229" s="33">
        <f t="shared" si="50"/>
        <v>77</v>
      </c>
      <c r="L229" s="26">
        <v>31</v>
      </c>
      <c r="M229" s="26">
        <v>27</v>
      </c>
      <c r="N229" s="33">
        <f t="shared" si="51"/>
        <v>58</v>
      </c>
      <c r="O229" s="26">
        <v>29</v>
      </c>
      <c r="P229" s="26">
        <v>27</v>
      </c>
      <c r="Q229" s="33">
        <f t="shared" si="52"/>
        <v>56</v>
      </c>
      <c r="R229" s="26">
        <v>31</v>
      </c>
      <c r="S229" s="26">
        <v>33</v>
      </c>
      <c r="T229" s="33">
        <f t="shared" si="53"/>
        <v>64</v>
      </c>
      <c r="U229" s="26">
        <v>29</v>
      </c>
      <c r="V229" s="26">
        <v>26</v>
      </c>
      <c r="W229" s="33">
        <f t="shared" si="54"/>
        <v>55</v>
      </c>
      <c r="X229" s="30"/>
      <c r="Y229" s="30"/>
      <c r="Z229" s="30"/>
      <c r="AA229" s="33">
        <v>461</v>
      </c>
      <c r="AB229" s="26" t="s">
        <v>117</v>
      </c>
      <c r="AC229" s="28"/>
    </row>
    <row r="230" spans="1:29" ht="15.6" x14ac:dyDescent="0.3">
      <c r="A230" s="26">
        <v>47</v>
      </c>
      <c r="B230" s="29" t="s">
        <v>631</v>
      </c>
      <c r="C230" s="26">
        <v>21</v>
      </c>
      <c r="D230" s="26">
        <v>29</v>
      </c>
      <c r="E230" s="33">
        <f t="shared" si="48"/>
        <v>50</v>
      </c>
      <c r="F230" s="26">
        <v>20</v>
      </c>
      <c r="G230" s="26">
        <v>31</v>
      </c>
      <c r="H230" s="33">
        <f t="shared" si="49"/>
        <v>51</v>
      </c>
      <c r="I230" s="26">
        <v>26</v>
      </c>
      <c r="J230" s="26">
        <v>25</v>
      </c>
      <c r="K230" s="33">
        <f t="shared" si="50"/>
        <v>51</v>
      </c>
      <c r="L230" s="26">
        <v>31</v>
      </c>
      <c r="M230" s="26">
        <v>27</v>
      </c>
      <c r="N230" s="33">
        <f t="shared" si="51"/>
        <v>58</v>
      </c>
      <c r="O230" s="26">
        <v>25</v>
      </c>
      <c r="P230" s="26">
        <v>26</v>
      </c>
      <c r="Q230" s="33">
        <f t="shared" si="52"/>
        <v>51</v>
      </c>
      <c r="R230" s="26">
        <v>20</v>
      </c>
      <c r="S230" s="26">
        <v>30</v>
      </c>
      <c r="T230" s="33">
        <f t="shared" si="53"/>
        <v>50</v>
      </c>
      <c r="U230" s="26">
        <v>25</v>
      </c>
      <c r="V230" s="26">
        <v>25</v>
      </c>
      <c r="W230" s="33">
        <f t="shared" si="54"/>
        <v>50</v>
      </c>
      <c r="X230" s="30"/>
      <c r="Y230" s="30"/>
      <c r="Z230" s="30"/>
      <c r="AA230" s="33">
        <f t="shared" si="55"/>
        <v>361</v>
      </c>
      <c r="AB230" s="26" t="s">
        <v>117</v>
      </c>
      <c r="AC230" s="28"/>
    </row>
    <row r="231" spans="1:29" ht="15.6" x14ac:dyDescent="0.3">
      <c r="A231" s="26">
        <v>48</v>
      </c>
      <c r="B231" s="29" t="s">
        <v>304</v>
      </c>
      <c r="C231" s="26">
        <v>50</v>
      </c>
      <c r="D231" s="26">
        <v>50</v>
      </c>
      <c r="E231" s="33">
        <f t="shared" si="48"/>
        <v>100</v>
      </c>
      <c r="F231" s="26">
        <v>50</v>
      </c>
      <c r="G231" s="26">
        <v>49</v>
      </c>
      <c r="H231" s="33">
        <f t="shared" si="49"/>
        <v>99</v>
      </c>
      <c r="I231" s="26">
        <v>47</v>
      </c>
      <c r="J231" s="26">
        <v>48</v>
      </c>
      <c r="K231" s="33">
        <f t="shared" si="50"/>
        <v>95</v>
      </c>
      <c r="L231" s="26">
        <v>50</v>
      </c>
      <c r="M231" s="26">
        <v>41</v>
      </c>
      <c r="N231" s="33">
        <f t="shared" si="51"/>
        <v>91</v>
      </c>
      <c r="O231" s="26">
        <v>46</v>
      </c>
      <c r="P231" s="26">
        <v>47</v>
      </c>
      <c r="Q231" s="33">
        <f t="shared" si="52"/>
        <v>93</v>
      </c>
      <c r="R231" s="26">
        <v>43</v>
      </c>
      <c r="S231" s="26">
        <v>45</v>
      </c>
      <c r="T231" s="33">
        <f t="shared" si="53"/>
        <v>88</v>
      </c>
      <c r="U231" s="26">
        <v>40</v>
      </c>
      <c r="V231" s="26">
        <v>50</v>
      </c>
      <c r="W231" s="33">
        <f t="shared" si="54"/>
        <v>90</v>
      </c>
      <c r="X231" s="30"/>
      <c r="Y231" s="30"/>
      <c r="Z231" s="30"/>
      <c r="AA231" s="33">
        <f t="shared" si="55"/>
        <v>656</v>
      </c>
      <c r="AB231" s="26" t="s">
        <v>117</v>
      </c>
      <c r="AC231" s="28"/>
    </row>
    <row r="232" spans="1:29" ht="15.6" x14ac:dyDescent="0.3">
      <c r="A232" s="26">
        <v>49</v>
      </c>
      <c r="B232" s="29" t="s">
        <v>305</v>
      </c>
      <c r="C232" s="26">
        <v>48</v>
      </c>
      <c r="D232" s="26">
        <v>50</v>
      </c>
      <c r="E232" s="33">
        <f t="shared" si="48"/>
        <v>98</v>
      </c>
      <c r="F232" s="26">
        <v>50</v>
      </c>
      <c r="G232" s="26">
        <v>50</v>
      </c>
      <c r="H232" s="33">
        <f t="shared" si="49"/>
        <v>100</v>
      </c>
      <c r="I232" s="26">
        <v>48</v>
      </c>
      <c r="J232" s="26">
        <v>46</v>
      </c>
      <c r="K232" s="33">
        <f t="shared" si="50"/>
        <v>94</v>
      </c>
      <c r="L232" s="26">
        <v>48</v>
      </c>
      <c r="M232" s="26">
        <v>48</v>
      </c>
      <c r="N232" s="33">
        <f t="shared" si="51"/>
        <v>96</v>
      </c>
      <c r="O232" s="26">
        <v>39</v>
      </c>
      <c r="P232" s="26">
        <v>49</v>
      </c>
      <c r="Q232" s="33">
        <f t="shared" si="52"/>
        <v>88</v>
      </c>
      <c r="R232" s="26">
        <v>46</v>
      </c>
      <c r="S232" s="26">
        <v>43</v>
      </c>
      <c r="T232" s="33">
        <f t="shared" si="53"/>
        <v>89</v>
      </c>
      <c r="U232" s="26">
        <v>48</v>
      </c>
      <c r="V232" s="26">
        <v>42</v>
      </c>
      <c r="W232" s="33">
        <f t="shared" si="54"/>
        <v>90</v>
      </c>
      <c r="X232" s="30"/>
      <c r="Y232" s="30"/>
      <c r="Z232" s="30"/>
      <c r="AA232" s="33">
        <f t="shared" si="55"/>
        <v>655</v>
      </c>
      <c r="AB232" s="26" t="s">
        <v>117</v>
      </c>
      <c r="AC232" s="28"/>
    </row>
    <row r="233" spans="1:29" ht="15.6" x14ac:dyDescent="0.3">
      <c r="A233" s="26">
        <v>50</v>
      </c>
      <c r="B233" s="29" t="s">
        <v>306</v>
      </c>
      <c r="C233" s="26">
        <v>50</v>
      </c>
      <c r="D233" s="26">
        <v>50</v>
      </c>
      <c r="E233" s="33">
        <f t="shared" si="48"/>
        <v>100</v>
      </c>
      <c r="F233" s="26">
        <v>50</v>
      </c>
      <c r="G233" s="26">
        <v>50</v>
      </c>
      <c r="H233" s="33">
        <f t="shared" si="49"/>
        <v>100</v>
      </c>
      <c r="I233" s="26">
        <v>49</v>
      </c>
      <c r="J233" s="26">
        <v>50</v>
      </c>
      <c r="K233" s="33">
        <f t="shared" si="50"/>
        <v>99</v>
      </c>
      <c r="L233" s="26">
        <v>50</v>
      </c>
      <c r="M233" s="26">
        <v>50</v>
      </c>
      <c r="N233" s="33">
        <f t="shared" si="51"/>
        <v>100</v>
      </c>
      <c r="O233" s="26">
        <v>50</v>
      </c>
      <c r="P233" s="26">
        <v>50</v>
      </c>
      <c r="Q233" s="33">
        <f t="shared" si="52"/>
        <v>100</v>
      </c>
      <c r="R233" s="26">
        <v>50</v>
      </c>
      <c r="S233" s="26">
        <v>50</v>
      </c>
      <c r="T233" s="33">
        <f t="shared" si="53"/>
        <v>100</v>
      </c>
      <c r="U233" s="26">
        <v>49</v>
      </c>
      <c r="V233" s="26">
        <v>50</v>
      </c>
      <c r="W233" s="33">
        <f t="shared" si="54"/>
        <v>99</v>
      </c>
      <c r="X233" s="30"/>
      <c r="Y233" s="30"/>
      <c r="Z233" s="30"/>
      <c r="AA233" s="33">
        <f t="shared" si="55"/>
        <v>698</v>
      </c>
      <c r="AB233" s="26" t="s">
        <v>117</v>
      </c>
      <c r="AC233" s="28"/>
    </row>
    <row r="234" spans="1:29" ht="15.6" x14ac:dyDescent="0.3">
      <c r="A234" s="26">
        <v>51</v>
      </c>
      <c r="B234" s="29" t="s">
        <v>307</v>
      </c>
      <c r="C234" s="26">
        <v>50</v>
      </c>
      <c r="D234" s="26">
        <v>50</v>
      </c>
      <c r="E234" s="33">
        <f t="shared" si="48"/>
        <v>100</v>
      </c>
      <c r="F234" s="26">
        <v>50</v>
      </c>
      <c r="G234" s="26">
        <v>50</v>
      </c>
      <c r="H234" s="33">
        <f>SUM(F234:G234)</f>
        <v>100</v>
      </c>
      <c r="I234" s="26">
        <v>48</v>
      </c>
      <c r="J234" s="26">
        <v>50</v>
      </c>
      <c r="K234" s="33">
        <f>SUM(I234:J234)</f>
        <v>98</v>
      </c>
      <c r="L234" s="26">
        <v>50</v>
      </c>
      <c r="M234" s="26">
        <v>50</v>
      </c>
      <c r="N234" s="33">
        <f>SUM(L234:M234)</f>
        <v>100</v>
      </c>
      <c r="O234" s="26">
        <v>50</v>
      </c>
      <c r="P234" s="26">
        <v>48</v>
      </c>
      <c r="Q234" s="33">
        <f t="shared" si="52"/>
        <v>98</v>
      </c>
      <c r="R234" s="26">
        <v>47</v>
      </c>
      <c r="S234" s="26">
        <v>50</v>
      </c>
      <c r="T234" s="33">
        <f t="shared" si="53"/>
        <v>97</v>
      </c>
      <c r="U234" s="26">
        <v>45</v>
      </c>
      <c r="V234" s="26">
        <v>43</v>
      </c>
      <c r="W234" s="33">
        <f t="shared" si="54"/>
        <v>88</v>
      </c>
      <c r="X234" s="30"/>
      <c r="Y234" s="30"/>
      <c r="Z234" s="30"/>
      <c r="AA234" s="33">
        <f t="shared" si="55"/>
        <v>681</v>
      </c>
      <c r="AB234" s="26" t="s">
        <v>117</v>
      </c>
      <c r="AC234" s="28"/>
    </row>
    <row r="235" spans="1:29" ht="15.6" x14ac:dyDescent="0.3">
      <c r="A235" s="26">
        <v>52</v>
      </c>
      <c r="B235" s="29" t="s">
        <v>632</v>
      </c>
      <c r="C235" s="26">
        <v>39</v>
      </c>
      <c r="D235" s="26">
        <v>41</v>
      </c>
      <c r="E235" s="33">
        <f t="shared" si="48"/>
        <v>80</v>
      </c>
      <c r="F235" s="26">
        <v>39</v>
      </c>
      <c r="G235" s="26">
        <v>37</v>
      </c>
      <c r="H235" s="33">
        <f t="shared" ref="H235:H240" si="56">SUM(F235:G235)</f>
        <v>76</v>
      </c>
      <c r="I235" s="26">
        <v>46</v>
      </c>
      <c r="J235" s="26">
        <v>41</v>
      </c>
      <c r="K235" s="33">
        <f t="shared" ref="K235:K242" si="57">SUM(I235:J235)</f>
        <v>87</v>
      </c>
      <c r="L235" s="26">
        <v>44</v>
      </c>
      <c r="M235" s="26">
        <v>28</v>
      </c>
      <c r="N235" s="33">
        <f t="shared" ref="N235:N243" si="58">SUM(L235:M235)</f>
        <v>72</v>
      </c>
      <c r="O235" s="26">
        <v>31</v>
      </c>
      <c r="P235" s="26">
        <v>42</v>
      </c>
      <c r="Q235" s="33">
        <f t="shared" si="52"/>
        <v>73</v>
      </c>
      <c r="R235" s="26">
        <v>37</v>
      </c>
      <c r="S235" s="26">
        <v>39</v>
      </c>
      <c r="T235" s="33">
        <f t="shared" si="53"/>
        <v>76</v>
      </c>
      <c r="U235" s="26">
        <v>39</v>
      </c>
      <c r="V235" s="26">
        <v>33</v>
      </c>
      <c r="W235" s="33">
        <f t="shared" si="54"/>
        <v>72</v>
      </c>
      <c r="X235" s="30"/>
      <c r="Y235" s="30"/>
      <c r="Z235" s="30"/>
      <c r="AA235" s="33">
        <f t="shared" si="55"/>
        <v>536</v>
      </c>
      <c r="AB235" s="26" t="s">
        <v>117</v>
      </c>
      <c r="AC235" s="28"/>
    </row>
    <row r="236" spans="1:29" ht="15.6" x14ac:dyDescent="0.3">
      <c r="A236" s="26">
        <v>53</v>
      </c>
      <c r="B236" s="29" t="s">
        <v>633</v>
      </c>
      <c r="C236" s="26">
        <v>21</v>
      </c>
      <c r="D236" s="26">
        <v>29</v>
      </c>
      <c r="E236" s="33">
        <f t="shared" si="48"/>
        <v>50</v>
      </c>
      <c r="F236" s="26">
        <v>27</v>
      </c>
      <c r="G236" s="26">
        <v>23</v>
      </c>
      <c r="H236" s="33">
        <f t="shared" si="56"/>
        <v>50</v>
      </c>
      <c r="I236" s="26">
        <v>25</v>
      </c>
      <c r="J236" s="26">
        <v>25</v>
      </c>
      <c r="K236" s="33">
        <f t="shared" si="57"/>
        <v>50</v>
      </c>
      <c r="L236" s="26">
        <v>25</v>
      </c>
      <c r="M236" s="26">
        <v>25</v>
      </c>
      <c r="N236" s="33">
        <f t="shared" si="58"/>
        <v>50</v>
      </c>
      <c r="O236" s="26">
        <v>25</v>
      </c>
      <c r="P236" s="26">
        <v>25</v>
      </c>
      <c r="Q236" s="33">
        <f t="shared" si="52"/>
        <v>50</v>
      </c>
      <c r="R236" s="26">
        <v>22</v>
      </c>
      <c r="S236" s="26">
        <v>29</v>
      </c>
      <c r="T236" s="33">
        <f t="shared" si="53"/>
        <v>51</v>
      </c>
      <c r="U236" s="26">
        <v>29</v>
      </c>
      <c r="V236" s="26">
        <v>25</v>
      </c>
      <c r="W236" s="33">
        <f t="shared" si="54"/>
        <v>54</v>
      </c>
      <c r="X236" s="30"/>
      <c r="Y236" s="30"/>
      <c r="Z236" s="30"/>
      <c r="AA236" s="33">
        <f t="shared" si="55"/>
        <v>355</v>
      </c>
      <c r="AB236" s="26" t="s">
        <v>117</v>
      </c>
      <c r="AC236" s="28"/>
    </row>
    <row r="237" spans="1:29" ht="15.6" x14ac:dyDescent="0.3">
      <c r="A237" s="26">
        <v>54</v>
      </c>
      <c r="B237" s="29" t="s">
        <v>308</v>
      </c>
      <c r="C237" s="26">
        <v>50</v>
      </c>
      <c r="D237" s="26">
        <v>49</v>
      </c>
      <c r="E237" s="33">
        <f t="shared" si="48"/>
        <v>99</v>
      </c>
      <c r="F237" s="26">
        <v>50</v>
      </c>
      <c r="G237" s="26">
        <v>50</v>
      </c>
      <c r="H237" s="33">
        <f t="shared" si="56"/>
        <v>100</v>
      </c>
      <c r="I237" s="26">
        <v>49</v>
      </c>
      <c r="J237" s="26">
        <v>50</v>
      </c>
      <c r="K237" s="33">
        <f t="shared" si="57"/>
        <v>99</v>
      </c>
      <c r="L237" s="26">
        <v>47</v>
      </c>
      <c r="M237" s="26">
        <v>50</v>
      </c>
      <c r="N237" s="33">
        <f t="shared" si="58"/>
        <v>97</v>
      </c>
      <c r="O237" s="26">
        <v>50</v>
      </c>
      <c r="P237" s="26">
        <v>50</v>
      </c>
      <c r="Q237" s="33">
        <f t="shared" si="52"/>
        <v>100</v>
      </c>
      <c r="R237" s="26">
        <v>48</v>
      </c>
      <c r="S237" s="26">
        <v>50</v>
      </c>
      <c r="T237" s="33">
        <f t="shared" si="53"/>
        <v>98</v>
      </c>
      <c r="U237" s="26">
        <v>44</v>
      </c>
      <c r="V237" s="26">
        <v>48</v>
      </c>
      <c r="W237" s="33">
        <f t="shared" si="54"/>
        <v>92</v>
      </c>
      <c r="X237" s="30"/>
      <c r="Y237" s="30"/>
      <c r="Z237" s="30"/>
      <c r="AA237" s="33">
        <f t="shared" si="55"/>
        <v>685</v>
      </c>
      <c r="AB237" s="26" t="s">
        <v>117</v>
      </c>
      <c r="AC237" s="28"/>
    </row>
    <row r="238" spans="1:29" ht="15.6" x14ac:dyDescent="0.3">
      <c r="A238" s="26">
        <v>55</v>
      </c>
      <c r="B238" s="29" t="s">
        <v>309</v>
      </c>
      <c r="C238" s="26">
        <v>50</v>
      </c>
      <c r="D238" s="26">
        <v>50</v>
      </c>
      <c r="E238" s="33">
        <f t="shared" si="48"/>
        <v>100</v>
      </c>
      <c r="F238" s="26">
        <v>50</v>
      </c>
      <c r="G238" s="26">
        <v>49</v>
      </c>
      <c r="H238" s="33">
        <f t="shared" si="56"/>
        <v>99</v>
      </c>
      <c r="I238" s="26">
        <v>49</v>
      </c>
      <c r="J238" s="26">
        <v>50</v>
      </c>
      <c r="K238" s="33">
        <f t="shared" si="57"/>
        <v>99</v>
      </c>
      <c r="L238" s="26">
        <v>47</v>
      </c>
      <c r="M238" s="26">
        <v>50</v>
      </c>
      <c r="N238" s="33">
        <f t="shared" si="58"/>
        <v>97</v>
      </c>
      <c r="O238" s="26">
        <v>49</v>
      </c>
      <c r="P238" s="26">
        <v>50</v>
      </c>
      <c r="Q238" s="33">
        <f t="shared" si="52"/>
        <v>99</v>
      </c>
      <c r="R238" s="26">
        <v>46</v>
      </c>
      <c r="S238" s="26">
        <v>50</v>
      </c>
      <c r="T238" s="33">
        <f t="shared" si="53"/>
        <v>96</v>
      </c>
      <c r="U238" s="26">
        <v>49</v>
      </c>
      <c r="V238" s="26">
        <v>46</v>
      </c>
      <c r="W238" s="33">
        <f t="shared" si="54"/>
        <v>95</v>
      </c>
      <c r="X238" s="30"/>
      <c r="Y238" s="30"/>
      <c r="Z238" s="30"/>
      <c r="AA238" s="33">
        <f t="shared" si="55"/>
        <v>685</v>
      </c>
      <c r="AB238" s="26" t="s">
        <v>117</v>
      </c>
      <c r="AC238" s="28"/>
    </row>
    <row r="239" spans="1:29" ht="15.6" x14ac:dyDescent="0.3">
      <c r="A239" s="26">
        <v>56</v>
      </c>
      <c r="B239" s="29" t="s">
        <v>310</v>
      </c>
      <c r="C239" s="26">
        <v>25</v>
      </c>
      <c r="D239" s="26">
        <v>25</v>
      </c>
      <c r="E239" s="33">
        <f t="shared" si="48"/>
        <v>50</v>
      </c>
      <c r="F239" s="26">
        <v>41</v>
      </c>
      <c r="G239" s="26">
        <v>30</v>
      </c>
      <c r="H239" s="33">
        <f t="shared" si="56"/>
        <v>71</v>
      </c>
      <c r="I239" s="26">
        <v>34</v>
      </c>
      <c r="J239" s="26">
        <v>28</v>
      </c>
      <c r="K239" s="33">
        <f t="shared" si="57"/>
        <v>62</v>
      </c>
      <c r="L239" s="26">
        <v>46</v>
      </c>
      <c r="M239" s="26">
        <v>42</v>
      </c>
      <c r="N239" s="33">
        <f t="shared" si="58"/>
        <v>88</v>
      </c>
      <c r="O239" s="26">
        <v>37</v>
      </c>
      <c r="P239" s="26">
        <v>30</v>
      </c>
      <c r="Q239" s="33">
        <f t="shared" si="52"/>
        <v>67</v>
      </c>
      <c r="R239" s="26">
        <v>33</v>
      </c>
      <c r="S239" s="26">
        <v>30</v>
      </c>
      <c r="T239" s="33">
        <f t="shared" si="53"/>
        <v>63</v>
      </c>
      <c r="U239" s="26">
        <v>31</v>
      </c>
      <c r="V239" s="26">
        <v>26</v>
      </c>
      <c r="W239" s="33">
        <f t="shared" si="54"/>
        <v>57</v>
      </c>
      <c r="X239" s="30"/>
      <c r="Y239" s="30"/>
      <c r="Z239" s="30"/>
      <c r="AA239" s="33">
        <f t="shared" si="55"/>
        <v>458</v>
      </c>
      <c r="AB239" s="26" t="s">
        <v>117</v>
      </c>
      <c r="AC239" s="28"/>
    </row>
    <row r="240" spans="1:29" ht="15.6" x14ac:dyDescent="0.3">
      <c r="A240" s="26">
        <v>57</v>
      </c>
      <c r="B240" s="29" t="s">
        <v>311</v>
      </c>
      <c r="C240" s="26">
        <v>25</v>
      </c>
      <c r="D240" s="26">
        <v>25</v>
      </c>
      <c r="E240" s="33">
        <f t="shared" si="48"/>
        <v>50</v>
      </c>
      <c r="F240" s="26">
        <v>26</v>
      </c>
      <c r="G240" s="26">
        <v>27</v>
      </c>
      <c r="H240" s="33">
        <f t="shared" si="56"/>
        <v>53</v>
      </c>
      <c r="I240" s="26">
        <v>25</v>
      </c>
      <c r="J240" s="26">
        <v>25</v>
      </c>
      <c r="K240" s="33">
        <f t="shared" si="57"/>
        <v>50</v>
      </c>
      <c r="L240" s="26">
        <v>25</v>
      </c>
      <c r="M240" s="26">
        <v>25</v>
      </c>
      <c r="N240" s="33">
        <f t="shared" si="58"/>
        <v>50</v>
      </c>
      <c r="O240" s="26">
        <v>25</v>
      </c>
      <c r="P240" s="26">
        <v>25</v>
      </c>
      <c r="Q240" s="33">
        <f t="shared" si="52"/>
        <v>50</v>
      </c>
      <c r="R240" s="26">
        <v>30</v>
      </c>
      <c r="S240" s="26">
        <v>36</v>
      </c>
      <c r="T240" s="33">
        <f t="shared" si="53"/>
        <v>66</v>
      </c>
      <c r="U240" s="26">
        <v>25</v>
      </c>
      <c r="V240" s="26">
        <v>25</v>
      </c>
      <c r="W240" s="33">
        <f t="shared" si="54"/>
        <v>50</v>
      </c>
      <c r="X240" s="30"/>
      <c r="Y240" s="30"/>
      <c r="Z240" s="30"/>
      <c r="AA240" s="33">
        <f t="shared" si="55"/>
        <v>369</v>
      </c>
      <c r="AB240" s="26" t="s">
        <v>117</v>
      </c>
      <c r="AC240" s="28"/>
    </row>
    <row r="241" spans="1:29" ht="15.6" x14ac:dyDescent="0.3">
      <c r="A241" s="26">
        <v>58</v>
      </c>
      <c r="B241" s="52" t="s">
        <v>312</v>
      </c>
      <c r="C241" s="53">
        <v>25</v>
      </c>
      <c r="D241" s="53">
        <v>25</v>
      </c>
      <c r="E241" s="54">
        <f t="shared" si="48"/>
        <v>50</v>
      </c>
      <c r="F241" s="53">
        <v>25</v>
      </c>
      <c r="G241" s="53">
        <v>25</v>
      </c>
      <c r="H241" s="54">
        <f>SUM(F241:G241)</f>
        <v>50</v>
      </c>
      <c r="I241" s="53">
        <v>25</v>
      </c>
      <c r="J241" s="53">
        <v>25</v>
      </c>
      <c r="K241" s="54">
        <f t="shared" si="57"/>
        <v>50</v>
      </c>
      <c r="L241" s="53">
        <v>34</v>
      </c>
      <c r="M241" s="53">
        <v>25</v>
      </c>
      <c r="N241" s="54">
        <f t="shared" si="58"/>
        <v>59</v>
      </c>
      <c r="O241" s="53">
        <v>31</v>
      </c>
      <c r="P241" s="53">
        <v>25</v>
      </c>
      <c r="Q241" s="54">
        <f t="shared" si="52"/>
        <v>56</v>
      </c>
      <c r="R241" s="53">
        <v>27</v>
      </c>
      <c r="S241" s="53">
        <v>23</v>
      </c>
      <c r="T241" s="54">
        <f t="shared" si="53"/>
        <v>50</v>
      </c>
      <c r="U241" s="53">
        <v>25</v>
      </c>
      <c r="V241" s="53">
        <v>25</v>
      </c>
      <c r="W241" s="54">
        <f>SUM(U241:V241)</f>
        <v>50</v>
      </c>
      <c r="X241" s="55"/>
      <c r="Y241" s="55"/>
      <c r="Z241" s="55"/>
      <c r="AA241" s="54">
        <f t="shared" si="55"/>
        <v>365</v>
      </c>
      <c r="AB241" s="26" t="s">
        <v>117</v>
      </c>
      <c r="AC241" s="28"/>
    </row>
    <row r="242" spans="1:29" ht="15.6" x14ac:dyDescent="0.3">
      <c r="A242" s="26">
        <v>59</v>
      </c>
      <c r="B242" s="29" t="s">
        <v>313</v>
      </c>
      <c r="C242" s="26">
        <v>25</v>
      </c>
      <c r="D242" s="26">
        <v>25</v>
      </c>
      <c r="E242" s="33">
        <f t="shared" si="48"/>
        <v>50</v>
      </c>
      <c r="F242" s="26">
        <v>29</v>
      </c>
      <c r="G242" s="26">
        <v>23</v>
      </c>
      <c r="H242" s="33">
        <f t="shared" ref="H242:H243" si="59">SUM(F242:G242)</f>
        <v>52</v>
      </c>
      <c r="I242" s="26">
        <v>28</v>
      </c>
      <c r="J242" s="26">
        <v>25</v>
      </c>
      <c r="K242" s="33">
        <f t="shared" si="57"/>
        <v>53</v>
      </c>
      <c r="L242" s="26">
        <v>25</v>
      </c>
      <c r="M242" s="26">
        <v>25</v>
      </c>
      <c r="N242" s="33">
        <f t="shared" si="58"/>
        <v>50</v>
      </c>
      <c r="O242" s="26">
        <v>36</v>
      </c>
      <c r="P242" s="26">
        <v>26</v>
      </c>
      <c r="Q242" s="33">
        <f t="shared" si="52"/>
        <v>62</v>
      </c>
      <c r="R242" s="26">
        <v>22</v>
      </c>
      <c r="S242" s="26">
        <v>28</v>
      </c>
      <c r="T242" s="33">
        <f t="shared" si="53"/>
        <v>50</v>
      </c>
      <c r="U242" s="26">
        <v>21</v>
      </c>
      <c r="V242" s="26">
        <v>29</v>
      </c>
      <c r="W242" s="33">
        <f>SUM(U242:V242)</f>
        <v>50</v>
      </c>
      <c r="X242" s="30"/>
      <c r="Y242" s="30"/>
      <c r="Z242" s="30"/>
      <c r="AA242" s="33">
        <f t="shared" si="55"/>
        <v>367</v>
      </c>
      <c r="AB242" s="26" t="s">
        <v>117</v>
      </c>
      <c r="AC242" s="28"/>
    </row>
    <row r="243" spans="1:29" ht="15.6" x14ac:dyDescent="0.3">
      <c r="A243" s="26">
        <v>60</v>
      </c>
      <c r="B243" s="29" t="s">
        <v>634</v>
      </c>
      <c r="C243" s="26">
        <v>33</v>
      </c>
      <c r="D243" s="26">
        <v>25</v>
      </c>
      <c r="E243" s="33">
        <f t="shared" si="48"/>
        <v>58</v>
      </c>
      <c r="F243" s="26">
        <v>27</v>
      </c>
      <c r="G243" s="26">
        <v>32</v>
      </c>
      <c r="H243" s="33">
        <f t="shared" si="59"/>
        <v>59</v>
      </c>
      <c r="I243" s="26">
        <v>25</v>
      </c>
      <c r="J243" s="26">
        <v>25</v>
      </c>
      <c r="K243" s="33">
        <f>SUM(I243:J243)</f>
        <v>50</v>
      </c>
      <c r="L243" s="26">
        <v>25</v>
      </c>
      <c r="M243" s="26">
        <v>25</v>
      </c>
      <c r="N243" s="33">
        <f t="shared" si="58"/>
        <v>50</v>
      </c>
      <c r="O243" s="26">
        <v>25</v>
      </c>
      <c r="P243" s="26">
        <v>25</v>
      </c>
      <c r="Q243" s="33">
        <f t="shared" si="52"/>
        <v>50</v>
      </c>
      <c r="R243" s="26">
        <v>20</v>
      </c>
      <c r="S243" s="26">
        <v>30</v>
      </c>
      <c r="T243" s="33">
        <f t="shared" si="53"/>
        <v>50</v>
      </c>
      <c r="U243" s="26">
        <v>25</v>
      </c>
      <c r="V243" s="26">
        <v>25</v>
      </c>
      <c r="W243" s="33">
        <f>SUM(U243:V243)</f>
        <v>50</v>
      </c>
      <c r="X243" s="30"/>
      <c r="Y243" s="30"/>
      <c r="Z243" s="30"/>
      <c r="AA243" s="33">
        <f t="shared" si="55"/>
        <v>367</v>
      </c>
      <c r="AB243" s="30" t="s">
        <v>117</v>
      </c>
      <c r="AC243" s="28"/>
    </row>
    <row r="244" spans="1:29" x14ac:dyDescent="0.25">
      <c r="A244" s="3" t="s">
        <v>429</v>
      </c>
      <c r="B244" s="3"/>
      <c r="C244" s="3"/>
      <c r="D244" s="3"/>
      <c r="E244" s="3"/>
      <c r="F244" s="3"/>
      <c r="G244" s="3" t="s">
        <v>468</v>
      </c>
      <c r="H244" s="3"/>
      <c r="I244" s="3"/>
      <c r="J244" s="3"/>
      <c r="K244" s="3"/>
      <c r="L244" s="3"/>
      <c r="M244" s="3"/>
      <c r="N244" s="3"/>
      <c r="O244" s="3" t="s">
        <v>82</v>
      </c>
      <c r="P244" s="3"/>
      <c r="Q244" s="3"/>
      <c r="R244" s="3"/>
      <c r="S244" s="3"/>
      <c r="T244" s="3"/>
      <c r="U244" s="3" t="s">
        <v>83</v>
      </c>
      <c r="V244" s="3"/>
      <c r="W244" s="3"/>
      <c r="X244" s="3"/>
      <c r="Y244" s="3"/>
      <c r="Z244" s="3"/>
      <c r="AA244" s="3"/>
      <c r="AB244" s="3" t="s">
        <v>84</v>
      </c>
    </row>
    <row r="245" spans="1:29" x14ac:dyDescent="0.25">
      <c r="A245" s="22" t="s">
        <v>89</v>
      </c>
      <c r="B245" s="22"/>
      <c r="C245" s="22"/>
      <c r="D245" s="22"/>
      <c r="E245" s="22"/>
      <c r="F245" s="22" t="s">
        <v>90</v>
      </c>
      <c r="G245" s="22"/>
      <c r="H245" s="22"/>
      <c r="I245" s="22"/>
      <c r="J245" s="22"/>
      <c r="K245" s="22"/>
      <c r="L245" s="22"/>
      <c r="M245" s="22"/>
      <c r="N245" s="22" t="s">
        <v>462</v>
      </c>
      <c r="O245" s="22"/>
      <c r="P245" s="22"/>
      <c r="Q245" s="22"/>
      <c r="R245" s="22"/>
      <c r="S245" s="22"/>
      <c r="T245" s="22" t="s">
        <v>463</v>
      </c>
      <c r="U245" s="22"/>
      <c r="V245" s="22"/>
      <c r="W245" s="22"/>
      <c r="X245" s="22"/>
      <c r="Y245" s="22"/>
      <c r="Z245" s="3"/>
      <c r="AA245" s="3"/>
      <c r="AB245" s="3"/>
    </row>
    <row r="246" spans="1:29" x14ac:dyDescent="0.25">
      <c r="A246" s="22" t="s">
        <v>466</v>
      </c>
      <c r="B246" s="22"/>
      <c r="C246" s="22"/>
      <c r="D246" s="22"/>
      <c r="E246" s="22"/>
      <c r="F246" s="22" t="s">
        <v>91</v>
      </c>
      <c r="G246" s="22"/>
      <c r="H246" s="22"/>
      <c r="I246" s="22"/>
      <c r="J246" s="22"/>
      <c r="K246" s="22"/>
      <c r="L246" s="22"/>
      <c r="M246" s="22"/>
      <c r="N246" s="22" t="s">
        <v>94</v>
      </c>
      <c r="O246" s="22"/>
      <c r="P246" s="22"/>
      <c r="Q246" s="22"/>
      <c r="R246" s="22"/>
      <c r="S246" s="22"/>
      <c r="T246" s="22" t="s">
        <v>97</v>
      </c>
      <c r="U246" s="22"/>
      <c r="V246" s="22"/>
      <c r="W246" s="22"/>
      <c r="X246" s="22"/>
      <c r="Y246" s="22"/>
      <c r="Z246" s="3"/>
      <c r="AA246" s="3"/>
      <c r="AB246" s="3"/>
    </row>
    <row r="247" spans="1:29" x14ac:dyDescent="0.25">
      <c r="A247" s="22" t="s">
        <v>89</v>
      </c>
      <c r="B247" s="22"/>
      <c r="C247" s="22"/>
      <c r="D247" s="22"/>
      <c r="E247" s="22"/>
      <c r="F247" s="22" t="s">
        <v>92</v>
      </c>
      <c r="G247" s="22"/>
      <c r="H247" s="22"/>
      <c r="I247" s="22"/>
      <c r="J247" s="22"/>
      <c r="K247" s="22"/>
      <c r="L247" s="22"/>
      <c r="M247" s="22"/>
      <c r="N247" s="22" t="s">
        <v>95</v>
      </c>
      <c r="O247" s="22"/>
      <c r="P247" s="22"/>
      <c r="Q247" s="22"/>
      <c r="R247" s="22"/>
      <c r="S247" s="22"/>
      <c r="T247" s="22" t="s">
        <v>98</v>
      </c>
      <c r="U247" s="22"/>
      <c r="V247" s="22"/>
      <c r="W247" s="22"/>
      <c r="X247" s="22"/>
      <c r="Y247" s="22"/>
      <c r="Z247" s="3"/>
      <c r="AA247" s="3"/>
      <c r="AB247" s="3"/>
    </row>
    <row r="250" spans="1:29" ht="15.6" x14ac:dyDescent="0.3">
      <c r="A250" s="6"/>
      <c r="B250" s="15" t="s">
        <v>494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 t="s">
        <v>467</v>
      </c>
      <c r="N250" s="6"/>
      <c r="O250" s="6"/>
      <c r="P250" s="6"/>
      <c r="Q250" s="6"/>
      <c r="R250" s="6"/>
      <c r="S250" s="6"/>
      <c r="T250" s="6"/>
      <c r="U250" s="6"/>
      <c r="V250" s="6"/>
      <c r="W250" s="5"/>
      <c r="X250" s="6"/>
      <c r="Y250" s="6"/>
      <c r="Z250" s="6"/>
      <c r="AA250" s="5"/>
      <c r="AB250" s="5" t="s">
        <v>456</v>
      </c>
      <c r="AC250" s="6"/>
    </row>
    <row r="251" spans="1:29" ht="15.6" x14ac:dyDescent="0.3">
      <c r="A251" s="6"/>
      <c r="B251" s="15" t="s">
        <v>81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5"/>
      <c r="X251" s="6"/>
      <c r="Y251" s="6"/>
      <c r="Z251" s="6"/>
      <c r="AA251" s="5"/>
      <c r="AB251" s="5" t="s">
        <v>100</v>
      </c>
      <c r="AC251" s="6"/>
    </row>
    <row r="252" spans="1:29" ht="15.6" x14ac:dyDescent="0.3">
      <c r="A252" s="6"/>
      <c r="B252" s="15" t="s">
        <v>459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5"/>
      <c r="X252" s="6"/>
      <c r="Y252" s="6"/>
      <c r="Z252" s="6"/>
      <c r="AA252" s="5"/>
      <c r="AB252" s="5" t="s">
        <v>158</v>
      </c>
      <c r="AC252" s="6"/>
    </row>
    <row r="253" spans="1:29" ht="15.6" x14ac:dyDescent="0.3">
      <c r="A253" s="6"/>
      <c r="B253" s="15" t="s">
        <v>460</v>
      </c>
      <c r="C253" s="6"/>
      <c r="D253" s="6"/>
      <c r="E253" s="6"/>
      <c r="F253" s="6"/>
      <c r="G253" s="6"/>
      <c r="H253" s="6"/>
      <c r="I253" s="6"/>
      <c r="J253" s="6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5"/>
      <c r="X253" s="6"/>
      <c r="Y253" s="6"/>
      <c r="Z253" s="6"/>
      <c r="AA253" s="5"/>
      <c r="AB253" s="5" t="s">
        <v>383</v>
      </c>
      <c r="AC253" s="6"/>
    </row>
    <row r="254" spans="1:29" ht="15.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5"/>
      <c r="X254" s="6"/>
      <c r="Y254" s="6"/>
      <c r="Z254" s="6"/>
      <c r="AA254" s="5"/>
      <c r="AB254" s="5" t="s">
        <v>384</v>
      </c>
      <c r="AC254" s="6"/>
    </row>
    <row r="255" spans="1:29" ht="15.6" x14ac:dyDescent="0.3">
      <c r="A255" s="6"/>
      <c r="B255" s="6"/>
      <c r="C255" s="5" t="s">
        <v>482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5"/>
      <c r="X255" s="6"/>
      <c r="Y255" s="6"/>
      <c r="Z255" s="6"/>
      <c r="AA255" s="5"/>
      <c r="AB255" s="5"/>
      <c r="AC255" s="6"/>
    </row>
    <row r="256" spans="1:29" ht="15.6" x14ac:dyDescent="0.3">
      <c r="A256" s="57" t="s">
        <v>0</v>
      </c>
      <c r="B256" s="66" t="s">
        <v>469</v>
      </c>
      <c r="C256" s="60" t="s">
        <v>458</v>
      </c>
      <c r="D256" s="61"/>
      <c r="E256" s="62"/>
      <c r="F256" s="60" t="s">
        <v>1</v>
      </c>
      <c r="G256" s="61"/>
      <c r="H256" s="62"/>
      <c r="I256" s="60" t="s">
        <v>2</v>
      </c>
      <c r="J256" s="61"/>
      <c r="K256" s="62"/>
      <c r="L256" s="60" t="s">
        <v>8</v>
      </c>
      <c r="M256" s="61"/>
      <c r="N256" s="62"/>
      <c r="O256" s="60" t="s">
        <v>3</v>
      </c>
      <c r="P256" s="61"/>
      <c r="Q256" s="62"/>
      <c r="R256" s="31"/>
      <c r="S256" s="31" t="s">
        <v>4</v>
      </c>
      <c r="T256" s="31"/>
      <c r="U256" s="60" t="s">
        <v>5</v>
      </c>
      <c r="V256" s="61"/>
      <c r="W256" s="62"/>
      <c r="X256" s="57" t="s">
        <v>16</v>
      </c>
      <c r="Y256" s="57" t="s">
        <v>17</v>
      </c>
      <c r="Z256" s="57" t="s">
        <v>18</v>
      </c>
      <c r="AA256" s="57" t="s">
        <v>19</v>
      </c>
      <c r="AB256" s="57" t="s">
        <v>20</v>
      </c>
      <c r="AC256" s="57" t="s">
        <v>21</v>
      </c>
    </row>
    <row r="257" spans="1:29" ht="55.2" x14ac:dyDescent="0.25">
      <c r="A257" s="58"/>
      <c r="B257" s="67"/>
      <c r="C257" s="32" t="s">
        <v>6</v>
      </c>
      <c r="D257" s="32" t="s">
        <v>461</v>
      </c>
      <c r="E257" s="32" t="s">
        <v>7</v>
      </c>
      <c r="F257" s="32" t="s">
        <v>6</v>
      </c>
      <c r="G257" s="32" t="s">
        <v>461</v>
      </c>
      <c r="H257" s="32" t="s">
        <v>7</v>
      </c>
      <c r="I257" s="32" t="s">
        <v>6</v>
      </c>
      <c r="J257" s="32" t="s">
        <v>461</v>
      </c>
      <c r="K257" s="32" t="s">
        <v>7</v>
      </c>
      <c r="L257" s="32" t="s">
        <v>6</v>
      </c>
      <c r="M257" s="32" t="s">
        <v>461</v>
      </c>
      <c r="N257" s="32" t="s">
        <v>7</v>
      </c>
      <c r="O257" s="32" t="s">
        <v>6</v>
      </c>
      <c r="P257" s="32" t="s">
        <v>461</v>
      </c>
      <c r="Q257" s="32" t="s">
        <v>7</v>
      </c>
      <c r="R257" s="32" t="s">
        <v>6</v>
      </c>
      <c r="S257" s="32" t="s">
        <v>461</v>
      </c>
      <c r="T257" s="32" t="s">
        <v>7</v>
      </c>
      <c r="U257" s="32" t="s">
        <v>6</v>
      </c>
      <c r="V257" s="32" t="s">
        <v>461</v>
      </c>
      <c r="W257" s="32" t="s">
        <v>7</v>
      </c>
      <c r="X257" s="58"/>
      <c r="Y257" s="58"/>
      <c r="Z257" s="58"/>
      <c r="AA257" s="58"/>
      <c r="AB257" s="58"/>
      <c r="AC257" s="58"/>
    </row>
    <row r="258" spans="1:29" ht="15.6" x14ac:dyDescent="0.3">
      <c r="A258" s="59"/>
      <c r="B258" s="68"/>
      <c r="C258" s="33">
        <v>50</v>
      </c>
      <c r="D258" s="33">
        <v>50</v>
      </c>
      <c r="E258" s="33">
        <v>100</v>
      </c>
      <c r="F258" s="33">
        <v>50</v>
      </c>
      <c r="G258" s="33">
        <v>50</v>
      </c>
      <c r="H258" s="33">
        <v>100</v>
      </c>
      <c r="I258" s="33">
        <v>50</v>
      </c>
      <c r="J258" s="33">
        <v>50</v>
      </c>
      <c r="K258" s="33">
        <v>100</v>
      </c>
      <c r="L258" s="33">
        <v>50</v>
      </c>
      <c r="M258" s="33">
        <v>50</v>
      </c>
      <c r="N258" s="33">
        <v>100</v>
      </c>
      <c r="O258" s="33">
        <v>50</v>
      </c>
      <c r="P258" s="33">
        <v>50</v>
      </c>
      <c r="Q258" s="33">
        <v>100</v>
      </c>
      <c r="R258" s="33">
        <v>50</v>
      </c>
      <c r="S258" s="33">
        <v>50</v>
      </c>
      <c r="T258" s="33">
        <v>100</v>
      </c>
      <c r="U258" s="33">
        <v>50</v>
      </c>
      <c r="V258" s="33">
        <v>50</v>
      </c>
      <c r="W258" s="33">
        <v>100</v>
      </c>
      <c r="X258" s="59"/>
      <c r="Y258" s="59"/>
      <c r="Z258" s="59"/>
      <c r="AA258" s="59"/>
      <c r="AB258" s="59"/>
      <c r="AC258" s="59"/>
    </row>
    <row r="259" spans="1:29" ht="15.6" x14ac:dyDescent="0.3">
      <c r="A259" s="26">
        <v>61</v>
      </c>
      <c r="B259" s="27" t="s">
        <v>314</v>
      </c>
      <c r="C259" s="26">
        <v>32</v>
      </c>
      <c r="D259" s="26">
        <v>34</v>
      </c>
      <c r="E259" s="33">
        <f>SUM(C259:D259)</f>
        <v>66</v>
      </c>
      <c r="F259" s="26">
        <v>38</v>
      </c>
      <c r="G259" s="26">
        <v>43</v>
      </c>
      <c r="H259" s="33">
        <f>SUM(F259:G259)</f>
        <v>81</v>
      </c>
      <c r="I259" s="26">
        <v>36</v>
      </c>
      <c r="J259" s="26">
        <v>28</v>
      </c>
      <c r="K259" s="33">
        <f>SUM(I259:J259)</f>
        <v>64</v>
      </c>
      <c r="L259" s="26">
        <v>25</v>
      </c>
      <c r="M259" s="26">
        <v>29</v>
      </c>
      <c r="N259" s="33">
        <f>SUM(L259:M259)</f>
        <v>54</v>
      </c>
      <c r="O259" s="26">
        <v>44</v>
      </c>
      <c r="P259" s="26">
        <v>42</v>
      </c>
      <c r="Q259" s="33">
        <f>SUM(O259:P259)</f>
        <v>86</v>
      </c>
      <c r="R259" s="26">
        <v>45</v>
      </c>
      <c r="S259" s="26">
        <v>28</v>
      </c>
      <c r="T259" s="33">
        <f>SUM(R259:S259)</f>
        <v>73</v>
      </c>
      <c r="U259" s="26">
        <v>39</v>
      </c>
      <c r="V259" s="26">
        <v>25</v>
      </c>
      <c r="W259" s="33">
        <f>SUM(U259:V259)</f>
        <v>64</v>
      </c>
      <c r="X259" s="26"/>
      <c r="Y259" s="26"/>
      <c r="Z259" s="26"/>
      <c r="AA259" s="33">
        <f>SUM(W259,T259,Q259,N259,K259,H259,E259)</f>
        <v>488</v>
      </c>
      <c r="AB259" s="26" t="s">
        <v>117</v>
      </c>
      <c r="AC259" s="29"/>
    </row>
    <row r="260" spans="1:29" ht="15.6" x14ac:dyDescent="0.3">
      <c r="A260" s="26">
        <v>62</v>
      </c>
      <c r="B260" s="27" t="s">
        <v>315</v>
      </c>
      <c r="C260" s="26">
        <v>25</v>
      </c>
      <c r="D260" s="26">
        <v>25</v>
      </c>
      <c r="E260" s="33">
        <f>SUM(C260:D260)</f>
        <v>50</v>
      </c>
      <c r="F260" s="26">
        <v>21</v>
      </c>
      <c r="G260" s="26">
        <v>29</v>
      </c>
      <c r="H260" s="33">
        <f>SUM(F260:G260)</f>
        <v>50</v>
      </c>
      <c r="I260" s="26">
        <v>25</v>
      </c>
      <c r="J260" s="26">
        <v>25</v>
      </c>
      <c r="K260" s="33">
        <f>SUM(I260:J260)</f>
        <v>50</v>
      </c>
      <c r="L260" s="26">
        <v>25</v>
      </c>
      <c r="M260" s="26">
        <v>25</v>
      </c>
      <c r="N260" s="33">
        <f>SUM(L260:M260)</f>
        <v>50</v>
      </c>
      <c r="O260" s="26">
        <v>23</v>
      </c>
      <c r="P260" s="26">
        <v>27</v>
      </c>
      <c r="Q260" s="33">
        <f>SUM(O260:P260)</f>
        <v>50</v>
      </c>
      <c r="R260" s="26">
        <v>25</v>
      </c>
      <c r="S260" s="26">
        <v>25</v>
      </c>
      <c r="T260" s="33">
        <f>SUM(R260:S260)</f>
        <v>50</v>
      </c>
      <c r="U260" s="26">
        <v>25</v>
      </c>
      <c r="V260" s="26">
        <v>25</v>
      </c>
      <c r="W260" s="33">
        <f>SUM(U260:V260)</f>
        <v>50</v>
      </c>
      <c r="X260" s="26"/>
      <c r="Y260" s="26"/>
      <c r="Z260" s="26"/>
      <c r="AA260" s="33">
        <f>SUM(W260,T260,Q260,N260,K260,H260,E260)</f>
        <v>350</v>
      </c>
      <c r="AB260" s="26" t="s">
        <v>117</v>
      </c>
      <c r="AC260" s="29"/>
    </row>
    <row r="261" spans="1:29" ht="15.6" x14ac:dyDescent="0.3">
      <c r="A261" s="26">
        <v>63</v>
      </c>
      <c r="B261" s="27" t="s">
        <v>316</v>
      </c>
      <c r="C261" s="26">
        <v>46</v>
      </c>
      <c r="D261" s="26">
        <v>48</v>
      </c>
      <c r="E261" s="33">
        <f>SUM(C261:D261)</f>
        <v>94</v>
      </c>
      <c r="F261" s="26">
        <v>48</v>
      </c>
      <c r="G261" s="26">
        <v>45</v>
      </c>
      <c r="H261" s="33">
        <f>SUM(F261:G261)</f>
        <v>93</v>
      </c>
      <c r="I261" s="26">
        <v>44</v>
      </c>
      <c r="J261" s="26">
        <v>36</v>
      </c>
      <c r="K261" s="33">
        <f>SUM(I261:J261)</f>
        <v>80</v>
      </c>
      <c r="L261" s="26">
        <v>41</v>
      </c>
      <c r="M261" s="26">
        <v>28</v>
      </c>
      <c r="N261" s="33">
        <f>SUM(L261:M261)</f>
        <v>69</v>
      </c>
      <c r="O261" s="26">
        <v>40</v>
      </c>
      <c r="P261" s="26">
        <v>37</v>
      </c>
      <c r="Q261" s="33">
        <f>SUM(O261:P261)</f>
        <v>77</v>
      </c>
      <c r="R261" s="26">
        <v>42</v>
      </c>
      <c r="S261" s="26">
        <v>40</v>
      </c>
      <c r="T261" s="33">
        <f>SUM(R261:S261)</f>
        <v>82</v>
      </c>
      <c r="U261" s="26">
        <v>34</v>
      </c>
      <c r="V261" s="26">
        <v>34</v>
      </c>
      <c r="W261" s="33">
        <f>SUM(U261:V261)</f>
        <v>68</v>
      </c>
      <c r="X261" s="26"/>
      <c r="Y261" s="26"/>
      <c r="Z261" s="26"/>
      <c r="AA261" s="33">
        <f>SUM(W261,T261,Q261,N261,K261,H261,E261)</f>
        <v>563</v>
      </c>
      <c r="AB261" s="26" t="s">
        <v>117</v>
      </c>
      <c r="AC261" s="29"/>
    </row>
    <row r="262" spans="1:29" ht="15.6" x14ac:dyDescent="0.3">
      <c r="A262" s="26">
        <v>64</v>
      </c>
      <c r="B262" s="27" t="s">
        <v>440</v>
      </c>
      <c r="C262" s="26">
        <v>25</v>
      </c>
      <c r="D262" s="26">
        <v>25</v>
      </c>
      <c r="E262" s="33">
        <f>SUM(C262:D262)</f>
        <v>50</v>
      </c>
      <c r="F262" s="26">
        <v>25</v>
      </c>
      <c r="G262" s="26">
        <v>25</v>
      </c>
      <c r="H262" s="33">
        <f>SUM(F262:G262)</f>
        <v>50</v>
      </c>
      <c r="I262" s="26">
        <v>25</v>
      </c>
      <c r="J262" s="26">
        <v>25</v>
      </c>
      <c r="K262" s="33">
        <f>SUM(I262:J262)</f>
        <v>50</v>
      </c>
      <c r="L262" s="26">
        <v>16</v>
      </c>
      <c r="M262" s="26">
        <v>34</v>
      </c>
      <c r="N262" s="33">
        <f>SUM(L262:M262)</f>
        <v>50</v>
      </c>
      <c r="O262" s="26">
        <v>31</v>
      </c>
      <c r="P262" s="26">
        <v>26</v>
      </c>
      <c r="Q262" s="33">
        <f>SUM(O262:P262)</f>
        <v>57</v>
      </c>
      <c r="R262" s="26">
        <v>27</v>
      </c>
      <c r="S262" s="26">
        <v>30</v>
      </c>
      <c r="T262" s="33">
        <f>SUM(R262:S262)</f>
        <v>57</v>
      </c>
      <c r="U262" s="26">
        <v>26</v>
      </c>
      <c r="V262" s="26">
        <v>25</v>
      </c>
      <c r="W262" s="33">
        <f>SUM(U262:V262)</f>
        <v>51</v>
      </c>
      <c r="X262" s="26"/>
      <c r="Y262" s="26"/>
      <c r="Z262" s="26"/>
      <c r="AA262" s="33">
        <f>SUM(W262,T262,Q262,N262,K262,H262,E262)</f>
        <v>365</v>
      </c>
      <c r="AB262" s="26" t="s">
        <v>117</v>
      </c>
      <c r="AC262" s="29"/>
    </row>
    <row r="263" spans="1:29" ht="15.6" x14ac:dyDescent="0.3">
      <c r="A263" s="26"/>
      <c r="B263" s="26"/>
      <c r="C263" s="26"/>
      <c r="D263" s="26"/>
      <c r="E263" s="33"/>
      <c r="F263" s="26"/>
      <c r="G263" s="26"/>
      <c r="H263" s="33"/>
      <c r="I263" s="26"/>
      <c r="J263" s="26"/>
      <c r="K263" s="33"/>
      <c r="L263" s="26"/>
      <c r="M263" s="26"/>
      <c r="N263" s="33"/>
      <c r="O263" s="26"/>
      <c r="P263" s="26"/>
      <c r="Q263" s="33"/>
      <c r="R263" s="26"/>
      <c r="S263" s="26"/>
      <c r="T263" s="33"/>
      <c r="U263" s="26"/>
      <c r="V263" s="26"/>
      <c r="W263" s="37"/>
      <c r="X263" s="29"/>
      <c r="Y263" s="29"/>
      <c r="Z263" s="29"/>
      <c r="AA263" s="37"/>
      <c r="AB263" s="26"/>
      <c r="AC263" s="29"/>
    </row>
    <row r="264" spans="1:29" ht="15.6" x14ac:dyDescent="0.3">
      <c r="A264" s="26"/>
      <c r="B264" s="26"/>
      <c r="C264" s="26"/>
      <c r="D264" s="26"/>
      <c r="E264" s="33"/>
      <c r="F264" s="26"/>
      <c r="G264" s="26"/>
      <c r="H264" s="33"/>
      <c r="I264" s="26"/>
      <c r="J264" s="26"/>
      <c r="K264" s="33"/>
      <c r="L264" s="26"/>
      <c r="M264" s="26"/>
      <c r="N264" s="33"/>
      <c r="O264" s="26"/>
      <c r="P264" s="26"/>
      <c r="Q264" s="33"/>
      <c r="R264" s="26"/>
      <c r="S264" s="26"/>
      <c r="T264" s="33"/>
      <c r="U264" s="26"/>
      <c r="V264" s="26"/>
      <c r="W264" s="37"/>
      <c r="X264" s="29"/>
      <c r="Y264" s="29"/>
      <c r="Z264" s="29"/>
      <c r="AA264" s="37"/>
      <c r="AB264" s="26"/>
      <c r="AC264" s="29"/>
    </row>
    <row r="265" spans="1:29" ht="15.6" x14ac:dyDescent="0.3">
      <c r="A265" s="26"/>
      <c r="B265" s="26"/>
      <c r="C265" s="26"/>
      <c r="D265" s="26"/>
      <c r="E265" s="33"/>
      <c r="F265" s="26"/>
      <c r="G265" s="26"/>
      <c r="H265" s="33"/>
      <c r="I265" s="26"/>
      <c r="J265" s="26"/>
      <c r="K265" s="33"/>
      <c r="L265" s="26"/>
      <c r="M265" s="26"/>
      <c r="N265" s="33"/>
      <c r="O265" s="26"/>
      <c r="P265" s="26"/>
      <c r="Q265" s="33"/>
      <c r="R265" s="26"/>
      <c r="S265" s="26"/>
      <c r="T265" s="33"/>
      <c r="U265" s="26"/>
      <c r="V265" s="26"/>
      <c r="W265" s="37"/>
      <c r="X265" s="29"/>
      <c r="Y265" s="29"/>
      <c r="Z265" s="29"/>
      <c r="AA265" s="37"/>
      <c r="AB265" s="26"/>
      <c r="AC265" s="29"/>
    </row>
    <row r="266" spans="1:29" ht="15.6" x14ac:dyDescent="0.3">
      <c r="A266" s="26"/>
      <c r="B266" s="26"/>
      <c r="C266" s="26"/>
      <c r="D266" s="26"/>
      <c r="E266" s="33"/>
      <c r="F266" s="26"/>
      <c r="G266" s="26"/>
      <c r="H266" s="33"/>
      <c r="I266" s="26"/>
      <c r="J266" s="26"/>
      <c r="K266" s="33"/>
      <c r="L266" s="26"/>
      <c r="M266" s="26"/>
      <c r="N266" s="33"/>
      <c r="O266" s="26"/>
      <c r="P266" s="26"/>
      <c r="Q266" s="33"/>
      <c r="R266" s="26"/>
      <c r="S266" s="26"/>
      <c r="T266" s="33"/>
      <c r="U266" s="26"/>
      <c r="V266" s="26"/>
      <c r="W266" s="37"/>
      <c r="X266" s="29"/>
      <c r="Y266" s="29"/>
      <c r="Z266" s="29"/>
      <c r="AA266" s="37"/>
      <c r="AB266" s="26"/>
      <c r="AC266" s="29"/>
    </row>
    <row r="267" spans="1:29" ht="15.6" x14ac:dyDescent="0.3">
      <c r="A267" s="26"/>
      <c r="B267" s="26"/>
      <c r="C267" s="26"/>
      <c r="D267" s="26"/>
      <c r="E267" s="33"/>
      <c r="F267" s="26"/>
      <c r="G267" s="26"/>
      <c r="H267" s="33"/>
      <c r="I267" s="26"/>
      <c r="J267" s="26"/>
      <c r="K267" s="33"/>
      <c r="L267" s="26"/>
      <c r="M267" s="26"/>
      <c r="N267" s="33"/>
      <c r="O267" s="26"/>
      <c r="P267" s="26"/>
      <c r="Q267" s="33"/>
      <c r="R267" s="26"/>
      <c r="S267" s="26"/>
      <c r="T267" s="33"/>
      <c r="U267" s="26"/>
      <c r="V267" s="26"/>
      <c r="W267" s="37"/>
      <c r="X267" s="29"/>
      <c r="Y267" s="29"/>
      <c r="Z267" s="29"/>
      <c r="AA267" s="37"/>
      <c r="AB267" s="26"/>
      <c r="AC267" s="29"/>
    </row>
    <row r="268" spans="1:29" ht="15.6" x14ac:dyDescent="0.3">
      <c r="A268" s="26"/>
      <c r="B268" s="26"/>
      <c r="C268" s="26"/>
      <c r="D268" s="26"/>
      <c r="E268" s="33"/>
      <c r="F268" s="26"/>
      <c r="G268" s="26"/>
      <c r="H268" s="33"/>
      <c r="I268" s="26"/>
      <c r="J268" s="26"/>
      <c r="K268" s="33"/>
      <c r="L268" s="26"/>
      <c r="M268" s="26"/>
      <c r="N268" s="33"/>
      <c r="O268" s="26"/>
      <c r="P268" s="26"/>
      <c r="Q268" s="33"/>
      <c r="R268" s="26"/>
      <c r="S268" s="26"/>
      <c r="T268" s="33"/>
      <c r="U268" s="26"/>
      <c r="V268" s="26"/>
      <c r="W268" s="37"/>
      <c r="X268" s="29"/>
      <c r="Y268" s="29"/>
      <c r="Z268" s="29"/>
      <c r="AA268" s="37"/>
      <c r="AB268" s="26"/>
      <c r="AC268" s="29"/>
    </row>
    <row r="269" spans="1:29" ht="15.6" x14ac:dyDescent="0.3">
      <c r="A269" s="26"/>
      <c r="B269" s="26"/>
      <c r="C269" s="26"/>
      <c r="D269" s="26"/>
      <c r="E269" s="33"/>
      <c r="F269" s="26"/>
      <c r="G269" s="26"/>
      <c r="H269" s="33"/>
      <c r="I269" s="26"/>
      <c r="J269" s="26"/>
      <c r="K269" s="33"/>
      <c r="L269" s="26"/>
      <c r="M269" s="26"/>
      <c r="N269" s="33"/>
      <c r="O269" s="26"/>
      <c r="P269" s="26"/>
      <c r="Q269" s="33"/>
      <c r="R269" s="26"/>
      <c r="S269" s="26"/>
      <c r="T269" s="33"/>
      <c r="U269" s="26"/>
      <c r="V269" s="26"/>
      <c r="W269" s="37"/>
      <c r="X269" s="29"/>
      <c r="Y269" s="29"/>
      <c r="Z269" s="29"/>
      <c r="AA269" s="37"/>
      <c r="AB269" s="26"/>
      <c r="AC269" s="29"/>
    </row>
    <row r="270" spans="1:29" ht="15.6" x14ac:dyDescent="0.3">
      <c r="A270" s="26"/>
      <c r="B270" s="26"/>
      <c r="C270" s="26"/>
      <c r="D270" s="26"/>
      <c r="E270" s="33"/>
      <c r="F270" s="26"/>
      <c r="G270" s="26"/>
      <c r="H270" s="33"/>
      <c r="I270" s="26"/>
      <c r="J270" s="26"/>
      <c r="K270" s="33"/>
      <c r="L270" s="26"/>
      <c r="M270" s="26"/>
      <c r="N270" s="33"/>
      <c r="O270" s="26"/>
      <c r="P270" s="26"/>
      <c r="Q270" s="33"/>
      <c r="R270" s="26"/>
      <c r="S270" s="26"/>
      <c r="T270" s="33"/>
      <c r="U270" s="26"/>
      <c r="V270" s="26"/>
      <c r="W270" s="37"/>
      <c r="X270" s="29"/>
      <c r="Y270" s="29"/>
      <c r="Z270" s="29"/>
      <c r="AA270" s="37"/>
      <c r="AB270" s="26"/>
      <c r="AC270" s="29"/>
    </row>
    <row r="271" spans="1:29" ht="15.6" x14ac:dyDescent="0.3">
      <c r="A271" s="26"/>
      <c r="B271" s="26"/>
      <c r="C271" s="26"/>
      <c r="D271" s="26"/>
      <c r="E271" s="33"/>
      <c r="F271" s="26"/>
      <c r="G271" s="26"/>
      <c r="H271" s="33"/>
      <c r="I271" s="26"/>
      <c r="J271" s="26"/>
      <c r="K271" s="33"/>
      <c r="L271" s="26"/>
      <c r="M271" s="26"/>
      <c r="N271" s="33"/>
      <c r="O271" s="26"/>
      <c r="P271" s="26"/>
      <c r="Q271" s="33"/>
      <c r="R271" s="26"/>
      <c r="S271" s="26"/>
      <c r="T271" s="33"/>
      <c r="U271" s="26"/>
      <c r="V271" s="26"/>
      <c r="W271" s="37"/>
      <c r="X271" s="29"/>
      <c r="Y271" s="29"/>
      <c r="Z271" s="29"/>
      <c r="AA271" s="37"/>
      <c r="AB271" s="26"/>
      <c r="AC271" s="29"/>
    </row>
    <row r="272" spans="1:29" ht="15.6" x14ac:dyDescent="0.3">
      <c r="A272" s="26"/>
      <c r="B272" s="26"/>
      <c r="C272" s="26"/>
      <c r="D272" s="26"/>
      <c r="E272" s="33"/>
      <c r="F272" s="26"/>
      <c r="G272" s="26"/>
      <c r="H272" s="33"/>
      <c r="I272" s="26"/>
      <c r="J272" s="26"/>
      <c r="K272" s="33"/>
      <c r="L272" s="26"/>
      <c r="M272" s="26"/>
      <c r="N272" s="33"/>
      <c r="O272" s="26"/>
      <c r="P272" s="26"/>
      <c r="Q272" s="33"/>
      <c r="R272" s="26"/>
      <c r="S272" s="26"/>
      <c r="T272" s="33"/>
      <c r="U272" s="26"/>
      <c r="V272" s="26"/>
      <c r="W272" s="37"/>
      <c r="X272" s="29"/>
      <c r="Y272" s="29"/>
      <c r="Z272" s="29"/>
      <c r="AA272" s="37"/>
      <c r="AB272" s="26"/>
      <c r="AC272" s="29"/>
    </row>
    <row r="273" spans="1:29" ht="15.6" x14ac:dyDescent="0.3">
      <c r="A273" s="26"/>
      <c r="B273" s="26"/>
      <c r="C273" s="26"/>
      <c r="D273" s="26"/>
      <c r="E273" s="33"/>
      <c r="F273" s="26"/>
      <c r="G273" s="26"/>
      <c r="H273" s="33"/>
      <c r="I273" s="26"/>
      <c r="J273" s="26"/>
      <c r="K273" s="33"/>
      <c r="L273" s="26"/>
      <c r="M273" s="26"/>
      <c r="N273" s="33"/>
      <c r="O273" s="26"/>
      <c r="P273" s="26"/>
      <c r="Q273" s="33"/>
      <c r="R273" s="26"/>
      <c r="S273" s="26"/>
      <c r="T273" s="33"/>
      <c r="U273" s="26"/>
      <c r="V273" s="26"/>
      <c r="W273" s="37"/>
      <c r="X273" s="29"/>
      <c r="Y273" s="29"/>
      <c r="Z273" s="29"/>
      <c r="AA273" s="37"/>
      <c r="AB273" s="26"/>
      <c r="AC273" s="29"/>
    </row>
    <row r="274" spans="1:29" ht="15.6" x14ac:dyDescent="0.3">
      <c r="A274" s="26"/>
      <c r="B274" s="26"/>
      <c r="C274" s="26"/>
      <c r="D274" s="26"/>
      <c r="E274" s="33"/>
      <c r="F274" s="26"/>
      <c r="G274" s="26"/>
      <c r="H274" s="33"/>
      <c r="I274" s="26"/>
      <c r="J274" s="26"/>
      <c r="K274" s="33"/>
      <c r="L274" s="26"/>
      <c r="M274" s="26"/>
      <c r="N274" s="33"/>
      <c r="O274" s="26"/>
      <c r="P274" s="26"/>
      <c r="Q274" s="33"/>
      <c r="R274" s="26"/>
      <c r="S274" s="26"/>
      <c r="T274" s="33"/>
      <c r="U274" s="26"/>
      <c r="V274" s="26"/>
      <c r="W274" s="37"/>
      <c r="X274" s="29"/>
      <c r="Y274" s="29"/>
      <c r="Z274" s="29"/>
      <c r="AA274" s="37"/>
      <c r="AB274" s="26"/>
      <c r="AC274" s="29"/>
    </row>
    <row r="275" spans="1:29" ht="15.6" x14ac:dyDescent="0.3">
      <c r="A275" s="26"/>
      <c r="B275" s="26"/>
      <c r="C275" s="26"/>
      <c r="D275" s="26"/>
      <c r="E275" s="33"/>
      <c r="F275" s="26"/>
      <c r="G275" s="26"/>
      <c r="H275" s="33"/>
      <c r="I275" s="26"/>
      <c r="J275" s="26"/>
      <c r="K275" s="33"/>
      <c r="L275" s="26"/>
      <c r="M275" s="26"/>
      <c r="N275" s="33"/>
      <c r="O275" s="26"/>
      <c r="P275" s="26"/>
      <c r="Q275" s="33"/>
      <c r="R275" s="26"/>
      <c r="S275" s="26"/>
      <c r="T275" s="33"/>
      <c r="U275" s="26"/>
      <c r="V275" s="26"/>
      <c r="W275" s="37"/>
      <c r="X275" s="29"/>
      <c r="Y275" s="29"/>
      <c r="Z275" s="29"/>
      <c r="AA275" s="37"/>
      <c r="AB275" s="26"/>
      <c r="AC275" s="29"/>
    </row>
    <row r="276" spans="1:29" ht="15.6" x14ac:dyDescent="0.3">
      <c r="A276" s="26"/>
      <c r="B276" s="26"/>
      <c r="C276" s="26"/>
      <c r="D276" s="26"/>
      <c r="E276" s="33"/>
      <c r="F276" s="26"/>
      <c r="G276" s="26"/>
      <c r="H276" s="33"/>
      <c r="I276" s="26"/>
      <c r="J276" s="26"/>
      <c r="K276" s="33"/>
      <c r="L276" s="26"/>
      <c r="M276" s="26"/>
      <c r="N276" s="33"/>
      <c r="O276" s="26"/>
      <c r="P276" s="26"/>
      <c r="Q276" s="33"/>
      <c r="R276" s="26"/>
      <c r="S276" s="26"/>
      <c r="T276" s="33"/>
      <c r="U276" s="26"/>
      <c r="V276" s="26"/>
      <c r="W276" s="37"/>
      <c r="X276" s="29"/>
      <c r="Y276" s="29"/>
      <c r="Z276" s="29"/>
      <c r="AA276" s="37"/>
      <c r="AB276" s="26"/>
      <c r="AC276" s="29"/>
    </row>
    <row r="277" spans="1:29" ht="15.6" x14ac:dyDescent="0.3">
      <c r="A277" s="26"/>
      <c r="B277" s="26"/>
      <c r="C277" s="26"/>
      <c r="D277" s="26"/>
      <c r="E277" s="33"/>
      <c r="F277" s="26"/>
      <c r="G277" s="26"/>
      <c r="H277" s="33"/>
      <c r="I277" s="26"/>
      <c r="J277" s="26"/>
      <c r="K277" s="33"/>
      <c r="L277" s="26"/>
      <c r="M277" s="26"/>
      <c r="N277" s="33"/>
      <c r="O277" s="26"/>
      <c r="P277" s="26"/>
      <c r="Q277" s="33"/>
      <c r="R277" s="26"/>
      <c r="S277" s="26"/>
      <c r="T277" s="33"/>
      <c r="U277" s="26"/>
      <c r="V277" s="26"/>
      <c r="W277" s="37"/>
      <c r="X277" s="29"/>
      <c r="Y277" s="29"/>
      <c r="Z277" s="29"/>
      <c r="AA277" s="37"/>
      <c r="AB277" s="26"/>
      <c r="AC277" s="29"/>
    </row>
    <row r="278" spans="1:29" ht="15.6" x14ac:dyDescent="0.3">
      <c r="A278" s="26"/>
      <c r="B278" s="26"/>
      <c r="C278" s="26"/>
      <c r="D278" s="26"/>
      <c r="E278" s="33"/>
      <c r="F278" s="26"/>
      <c r="G278" s="26"/>
      <c r="H278" s="33"/>
      <c r="I278" s="26"/>
      <c r="J278" s="26"/>
      <c r="K278" s="33"/>
      <c r="L278" s="26"/>
      <c r="M278" s="26"/>
      <c r="N278" s="33"/>
      <c r="O278" s="26"/>
      <c r="P278" s="26"/>
      <c r="Q278" s="33"/>
      <c r="R278" s="26"/>
      <c r="S278" s="26"/>
      <c r="T278" s="33"/>
      <c r="U278" s="26"/>
      <c r="V278" s="26"/>
      <c r="W278" s="37"/>
      <c r="X278" s="29"/>
      <c r="Y278" s="29"/>
      <c r="Z278" s="29"/>
      <c r="AA278" s="37"/>
      <c r="AB278" s="26"/>
      <c r="AC278" s="29"/>
    </row>
    <row r="279" spans="1:29" x14ac:dyDescent="0.25">
      <c r="A279" s="3" t="s">
        <v>430</v>
      </c>
      <c r="B279" s="3"/>
      <c r="C279" s="3"/>
      <c r="D279" s="3"/>
      <c r="E279" s="3"/>
      <c r="F279" s="3"/>
      <c r="G279" s="3" t="s">
        <v>468</v>
      </c>
      <c r="H279" s="3"/>
      <c r="I279" s="3"/>
      <c r="J279" s="3"/>
      <c r="K279" s="3"/>
      <c r="L279" s="3"/>
      <c r="M279" s="3"/>
      <c r="N279" s="3"/>
      <c r="O279" s="3" t="s">
        <v>82</v>
      </c>
      <c r="P279" s="3"/>
      <c r="Q279" s="3"/>
      <c r="R279" s="3"/>
      <c r="S279" s="3"/>
      <c r="T279" s="3"/>
      <c r="U279" s="3" t="s">
        <v>83</v>
      </c>
      <c r="V279" s="3"/>
      <c r="W279" s="3"/>
      <c r="X279" s="3"/>
      <c r="Y279" s="3"/>
      <c r="Z279" s="3"/>
      <c r="AA279" s="3"/>
      <c r="AB279" s="3" t="s">
        <v>84</v>
      </c>
    </row>
    <row r="280" spans="1:29" x14ac:dyDescent="0.25">
      <c r="A280" s="22" t="s">
        <v>89</v>
      </c>
      <c r="B280" s="22"/>
      <c r="C280" s="22"/>
      <c r="D280" s="22"/>
      <c r="E280" s="22"/>
      <c r="F280" s="22" t="s">
        <v>90</v>
      </c>
      <c r="G280" s="22"/>
      <c r="H280" s="22"/>
      <c r="I280" s="22"/>
      <c r="J280" s="22"/>
      <c r="K280" s="22"/>
      <c r="L280" s="22"/>
      <c r="M280" s="22"/>
      <c r="N280" s="22" t="s">
        <v>462</v>
      </c>
      <c r="O280" s="22"/>
      <c r="P280" s="22"/>
      <c r="Q280" s="22"/>
      <c r="R280" s="22"/>
      <c r="S280" s="22"/>
      <c r="T280" s="22" t="s">
        <v>463</v>
      </c>
      <c r="U280" s="22"/>
      <c r="V280" s="22"/>
      <c r="W280" s="22"/>
      <c r="X280" s="22"/>
      <c r="Y280" s="22"/>
      <c r="Z280" s="3"/>
      <c r="AA280" s="3"/>
      <c r="AB280" s="3" t="s">
        <v>85</v>
      </c>
    </row>
    <row r="281" spans="1:29" x14ac:dyDescent="0.25">
      <c r="A281" s="22" t="s">
        <v>466</v>
      </c>
      <c r="B281" s="22"/>
      <c r="C281" s="22"/>
      <c r="D281" s="22"/>
      <c r="E281" s="22"/>
      <c r="F281" s="22" t="s">
        <v>91</v>
      </c>
      <c r="G281" s="22"/>
      <c r="H281" s="22"/>
      <c r="I281" s="22"/>
      <c r="J281" s="22"/>
      <c r="K281" s="22"/>
      <c r="L281" s="22"/>
      <c r="M281" s="22"/>
      <c r="N281" s="22" t="s">
        <v>94</v>
      </c>
      <c r="O281" s="22"/>
      <c r="P281" s="22"/>
      <c r="Q281" s="22"/>
      <c r="R281" s="22"/>
      <c r="S281" s="22"/>
      <c r="T281" s="22" t="s">
        <v>97</v>
      </c>
      <c r="U281" s="22"/>
      <c r="V281" s="22"/>
      <c r="W281" s="22"/>
      <c r="X281" s="22"/>
      <c r="Y281" s="22"/>
      <c r="Z281" s="3"/>
      <c r="AA281" s="3"/>
      <c r="AB281" s="3" t="s">
        <v>99</v>
      </c>
    </row>
    <row r="282" spans="1:29" x14ac:dyDescent="0.25">
      <c r="A282" s="22" t="s">
        <v>89</v>
      </c>
      <c r="B282" s="22"/>
      <c r="C282" s="22"/>
      <c r="D282" s="22"/>
      <c r="E282" s="22"/>
      <c r="F282" s="22" t="s">
        <v>92</v>
      </c>
      <c r="G282" s="22"/>
      <c r="H282" s="22"/>
      <c r="I282" s="22"/>
      <c r="J282" s="22"/>
      <c r="K282" s="22"/>
      <c r="L282" s="22"/>
      <c r="M282" s="22"/>
      <c r="N282" s="22" t="s">
        <v>95</v>
      </c>
      <c r="O282" s="22"/>
      <c r="P282" s="22"/>
      <c r="Q282" s="22"/>
      <c r="R282" s="22"/>
      <c r="S282" s="22"/>
      <c r="T282" s="22" t="s">
        <v>98</v>
      </c>
      <c r="U282" s="22"/>
      <c r="V282" s="22"/>
      <c r="W282" s="22"/>
      <c r="X282" s="22"/>
      <c r="Y282" s="22"/>
      <c r="Z282" s="3"/>
      <c r="AA282" s="3"/>
      <c r="AB282" s="3"/>
    </row>
    <row r="285" spans="1:29" ht="15.6" x14ac:dyDescent="0.3">
      <c r="A285" s="6"/>
      <c r="B285" s="15" t="s">
        <v>494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 t="s">
        <v>467</v>
      </c>
      <c r="N285" s="6"/>
      <c r="O285" s="6"/>
      <c r="P285" s="6"/>
      <c r="Q285" s="6"/>
      <c r="R285" s="6"/>
      <c r="S285" s="6"/>
      <c r="T285" s="6"/>
      <c r="U285" s="6"/>
      <c r="V285" s="6"/>
      <c r="W285" s="5"/>
      <c r="X285" s="6"/>
      <c r="Y285" s="6"/>
      <c r="Z285" s="6"/>
      <c r="AA285" s="5"/>
      <c r="AB285" s="5" t="s">
        <v>456</v>
      </c>
      <c r="AC285" s="6"/>
    </row>
    <row r="286" spans="1:29" ht="15.6" x14ac:dyDescent="0.3">
      <c r="A286" s="6"/>
      <c r="B286" s="15" t="s">
        <v>81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5"/>
      <c r="X286" s="6"/>
      <c r="Y286" s="6"/>
      <c r="Z286" s="6"/>
      <c r="AA286" s="5"/>
      <c r="AB286" s="5" t="s">
        <v>100</v>
      </c>
      <c r="AC286" s="6"/>
    </row>
    <row r="287" spans="1:29" ht="15.6" x14ac:dyDescent="0.3">
      <c r="A287" s="6"/>
      <c r="B287" s="15" t="s">
        <v>459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5"/>
      <c r="X287" s="6"/>
      <c r="Y287" s="6"/>
      <c r="Z287" s="6"/>
      <c r="AA287" s="5"/>
      <c r="AB287" s="5" t="s">
        <v>158</v>
      </c>
      <c r="AC287" s="6"/>
    </row>
    <row r="288" spans="1:29" ht="15.6" x14ac:dyDescent="0.3">
      <c r="A288" s="6"/>
      <c r="B288" s="15" t="s">
        <v>460</v>
      </c>
      <c r="C288" s="6"/>
      <c r="D288" s="6"/>
      <c r="E288" s="6"/>
      <c r="F288" s="6"/>
      <c r="G288" s="6"/>
      <c r="H288" s="6"/>
      <c r="I288" s="6"/>
      <c r="J288" s="6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5"/>
      <c r="X288" s="6"/>
      <c r="Y288" s="6"/>
      <c r="Z288" s="6"/>
      <c r="AA288" s="5"/>
      <c r="AB288" s="5" t="s">
        <v>539</v>
      </c>
      <c r="AC288" s="6"/>
    </row>
    <row r="289" spans="1:29" ht="15.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5"/>
      <c r="X289" s="6"/>
      <c r="Y289" s="6"/>
      <c r="Z289" s="6"/>
      <c r="AA289" s="5"/>
      <c r="AB289" s="5" t="s">
        <v>540</v>
      </c>
      <c r="AC289" s="6"/>
    </row>
    <row r="290" spans="1:29" ht="15.6" x14ac:dyDescent="0.3">
      <c r="A290" s="6"/>
      <c r="B290" s="6"/>
      <c r="C290" s="5" t="s">
        <v>482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5"/>
      <c r="X290" s="6"/>
      <c r="Y290" s="6"/>
      <c r="Z290" s="6"/>
      <c r="AA290" s="5"/>
      <c r="AB290" s="5"/>
      <c r="AC290" s="6"/>
    </row>
    <row r="291" spans="1:29" ht="15.6" x14ac:dyDescent="0.3">
      <c r="A291" s="57" t="s">
        <v>0</v>
      </c>
      <c r="B291" s="66" t="s">
        <v>469</v>
      </c>
      <c r="C291" s="60" t="s">
        <v>458</v>
      </c>
      <c r="D291" s="61"/>
      <c r="E291" s="62"/>
      <c r="F291" s="60" t="s">
        <v>1</v>
      </c>
      <c r="G291" s="61"/>
      <c r="H291" s="62"/>
      <c r="I291" s="60" t="s">
        <v>2</v>
      </c>
      <c r="J291" s="61"/>
      <c r="K291" s="62"/>
      <c r="L291" s="60" t="s">
        <v>8</v>
      </c>
      <c r="M291" s="61"/>
      <c r="N291" s="62"/>
      <c r="O291" s="60" t="s">
        <v>3</v>
      </c>
      <c r="P291" s="61"/>
      <c r="Q291" s="62"/>
      <c r="R291" s="31"/>
      <c r="S291" s="31" t="s">
        <v>4</v>
      </c>
      <c r="T291" s="31"/>
      <c r="U291" s="60" t="s">
        <v>5</v>
      </c>
      <c r="V291" s="61"/>
      <c r="W291" s="62"/>
      <c r="X291" s="57" t="s">
        <v>16</v>
      </c>
      <c r="Y291" s="57" t="s">
        <v>17</v>
      </c>
      <c r="Z291" s="57" t="s">
        <v>18</v>
      </c>
      <c r="AA291" s="57" t="s">
        <v>19</v>
      </c>
      <c r="AB291" s="57" t="s">
        <v>20</v>
      </c>
      <c r="AC291" s="57" t="s">
        <v>21</v>
      </c>
    </row>
    <row r="292" spans="1:29" ht="55.2" x14ac:dyDescent="0.25">
      <c r="A292" s="58"/>
      <c r="B292" s="67"/>
      <c r="C292" s="32" t="s">
        <v>6</v>
      </c>
      <c r="D292" s="32" t="s">
        <v>461</v>
      </c>
      <c r="E292" s="32" t="s">
        <v>7</v>
      </c>
      <c r="F292" s="32" t="s">
        <v>6</v>
      </c>
      <c r="G292" s="32" t="s">
        <v>461</v>
      </c>
      <c r="H292" s="32" t="s">
        <v>7</v>
      </c>
      <c r="I292" s="32" t="s">
        <v>6</v>
      </c>
      <c r="J292" s="32" t="s">
        <v>461</v>
      </c>
      <c r="K292" s="32" t="s">
        <v>7</v>
      </c>
      <c r="L292" s="32" t="s">
        <v>6</v>
      </c>
      <c r="M292" s="32" t="s">
        <v>461</v>
      </c>
      <c r="N292" s="32" t="s">
        <v>7</v>
      </c>
      <c r="O292" s="32" t="s">
        <v>6</v>
      </c>
      <c r="P292" s="32" t="s">
        <v>461</v>
      </c>
      <c r="Q292" s="32" t="s">
        <v>7</v>
      </c>
      <c r="R292" s="32" t="s">
        <v>6</v>
      </c>
      <c r="S292" s="32" t="s">
        <v>461</v>
      </c>
      <c r="T292" s="32" t="s">
        <v>7</v>
      </c>
      <c r="U292" s="32" t="s">
        <v>6</v>
      </c>
      <c r="V292" s="32" t="s">
        <v>461</v>
      </c>
      <c r="W292" s="32" t="s">
        <v>7</v>
      </c>
      <c r="X292" s="58"/>
      <c r="Y292" s="58"/>
      <c r="Z292" s="58"/>
      <c r="AA292" s="58"/>
      <c r="AB292" s="58"/>
      <c r="AC292" s="58"/>
    </row>
    <row r="293" spans="1:29" ht="15.6" x14ac:dyDescent="0.3">
      <c r="A293" s="59"/>
      <c r="B293" s="68"/>
      <c r="C293" s="33">
        <v>50</v>
      </c>
      <c r="D293" s="33">
        <v>50</v>
      </c>
      <c r="E293" s="33">
        <v>100</v>
      </c>
      <c r="F293" s="33">
        <v>50</v>
      </c>
      <c r="G293" s="33">
        <v>50</v>
      </c>
      <c r="H293" s="33">
        <v>100</v>
      </c>
      <c r="I293" s="33">
        <v>50</v>
      </c>
      <c r="J293" s="33">
        <v>50</v>
      </c>
      <c r="K293" s="33">
        <v>100</v>
      </c>
      <c r="L293" s="33">
        <v>50</v>
      </c>
      <c r="M293" s="33">
        <v>50</v>
      </c>
      <c r="N293" s="33">
        <v>100</v>
      </c>
      <c r="O293" s="33">
        <v>50</v>
      </c>
      <c r="P293" s="33">
        <v>50</v>
      </c>
      <c r="Q293" s="33">
        <v>100</v>
      </c>
      <c r="R293" s="33">
        <v>50</v>
      </c>
      <c r="S293" s="33">
        <v>50</v>
      </c>
      <c r="T293" s="33">
        <v>100</v>
      </c>
      <c r="U293" s="33">
        <v>50</v>
      </c>
      <c r="V293" s="33">
        <v>50</v>
      </c>
      <c r="W293" s="33">
        <v>100</v>
      </c>
      <c r="X293" s="59"/>
      <c r="Y293" s="59"/>
      <c r="Z293" s="59"/>
      <c r="AA293" s="59"/>
      <c r="AB293" s="59"/>
      <c r="AC293" s="59"/>
    </row>
    <row r="294" spans="1:29" ht="15.6" x14ac:dyDescent="0.3">
      <c r="A294" s="26">
        <v>1</v>
      </c>
      <c r="B294" s="27" t="s">
        <v>155</v>
      </c>
      <c r="C294" s="26">
        <v>14</v>
      </c>
      <c r="D294" s="26">
        <v>25</v>
      </c>
      <c r="E294" s="33">
        <f>SUM(C294:D294)</f>
        <v>39</v>
      </c>
      <c r="F294" s="26">
        <v>26</v>
      </c>
      <c r="G294" s="26">
        <v>25</v>
      </c>
      <c r="H294" s="33">
        <f t="shared" ref="H294:H298" si="60">SUM(F294:G294)</f>
        <v>51</v>
      </c>
      <c r="I294" s="26">
        <v>29</v>
      </c>
      <c r="J294" s="26">
        <v>25</v>
      </c>
      <c r="K294" s="33">
        <f t="shared" ref="K294:K298" si="61">SUM(I294:J294)</f>
        <v>54</v>
      </c>
      <c r="L294" s="26">
        <v>17</v>
      </c>
      <c r="M294" s="26">
        <v>25</v>
      </c>
      <c r="N294" s="33">
        <f t="shared" ref="N294:N298" si="62">SUM(L294:M294)</f>
        <v>42</v>
      </c>
      <c r="O294" s="26">
        <v>17</v>
      </c>
      <c r="P294" s="26">
        <v>26</v>
      </c>
      <c r="Q294" s="33">
        <f t="shared" ref="Q294:Q298" si="63">SUM(O294:P294)</f>
        <v>43</v>
      </c>
      <c r="R294" s="26">
        <v>25</v>
      </c>
      <c r="S294" s="26">
        <v>25</v>
      </c>
      <c r="T294" s="33">
        <f t="shared" ref="T294:T298" si="64">SUM(R294:S294)</f>
        <v>50</v>
      </c>
      <c r="U294" s="26">
        <v>25</v>
      </c>
      <c r="V294" s="26">
        <v>25</v>
      </c>
      <c r="W294" s="33">
        <f t="shared" ref="W294:W298" si="65">SUM(U294:V294)</f>
        <v>50</v>
      </c>
      <c r="X294" s="26"/>
      <c r="Y294" s="26"/>
      <c r="Z294" s="26"/>
      <c r="AA294" s="33">
        <f t="shared" ref="AA294:AA298" si="66">SUM(W294,T294,Q294,N294,K294,H294,E294)</f>
        <v>329</v>
      </c>
      <c r="AB294" s="26" t="s">
        <v>274</v>
      </c>
      <c r="AC294" s="29"/>
    </row>
    <row r="295" spans="1:29" ht="15.6" x14ac:dyDescent="0.3">
      <c r="A295" s="26">
        <v>2</v>
      </c>
      <c r="B295" s="27" t="s">
        <v>569</v>
      </c>
      <c r="C295" s="26">
        <v>19</v>
      </c>
      <c r="D295" s="26">
        <v>17</v>
      </c>
      <c r="E295" s="33">
        <f>SUM(C295:D295)</f>
        <v>36</v>
      </c>
      <c r="F295" s="26">
        <v>29</v>
      </c>
      <c r="G295" s="26">
        <v>20</v>
      </c>
      <c r="H295" s="33">
        <f t="shared" si="60"/>
        <v>49</v>
      </c>
      <c r="I295" s="26">
        <v>10</v>
      </c>
      <c r="J295" s="26">
        <v>25</v>
      </c>
      <c r="K295" s="33">
        <f t="shared" si="61"/>
        <v>35</v>
      </c>
      <c r="L295" s="26">
        <v>13</v>
      </c>
      <c r="M295" s="26">
        <v>19</v>
      </c>
      <c r="N295" s="33">
        <f t="shared" si="62"/>
        <v>32</v>
      </c>
      <c r="O295" s="26">
        <v>23</v>
      </c>
      <c r="P295" s="26">
        <v>25</v>
      </c>
      <c r="Q295" s="33">
        <f t="shared" si="63"/>
        <v>48</v>
      </c>
      <c r="R295" s="26">
        <v>22</v>
      </c>
      <c r="S295" s="26">
        <v>29</v>
      </c>
      <c r="T295" s="33">
        <f t="shared" si="64"/>
        <v>51</v>
      </c>
      <c r="U295" s="26">
        <v>21</v>
      </c>
      <c r="V295" s="26">
        <v>25</v>
      </c>
      <c r="W295" s="33">
        <f t="shared" si="65"/>
        <v>46</v>
      </c>
      <c r="X295" s="26"/>
      <c r="Y295" s="26"/>
      <c r="Z295" s="26"/>
      <c r="AA295" s="33">
        <f t="shared" si="66"/>
        <v>297</v>
      </c>
      <c r="AB295" s="26" t="s">
        <v>274</v>
      </c>
      <c r="AC295" s="29"/>
    </row>
    <row r="296" spans="1:29" ht="15.6" x14ac:dyDescent="0.3">
      <c r="A296" s="26">
        <v>3</v>
      </c>
      <c r="B296" s="27" t="s">
        <v>570</v>
      </c>
      <c r="C296" s="26">
        <v>16</v>
      </c>
      <c r="D296" s="26">
        <v>21</v>
      </c>
      <c r="E296" s="33">
        <f>SUM(C296:D296)</f>
        <v>37</v>
      </c>
      <c r="F296" s="26">
        <v>25</v>
      </c>
      <c r="G296" s="26">
        <v>25</v>
      </c>
      <c r="H296" s="33">
        <f t="shared" si="60"/>
        <v>50</v>
      </c>
      <c r="I296" s="26">
        <v>23</v>
      </c>
      <c r="J296" s="26">
        <v>32</v>
      </c>
      <c r="K296" s="33">
        <f t="shared" si="61"/>
        <v>55</v>
      </c>
      <c r="L296" s="26">
        <v>18</v>
      </c>
      <c r="M296" s="26">
        <v>25</v>
      </c>
      <c r="N296" s="33">
        <f t="shared" si="62"/>
        <v>43</v>
      </c>
      <c r="O296" s="26">
        <v>26</v>
      </c>
      <c r="P296" s="26">
        <v>25</v>
      </c>
      <c r="Q296" s="33">
        <f t="shared" si="63"/>
        <v>51</v>
      </c>
      <c r="R296" s="26">
        <v>23</v>
      </c>
      <c r="S296" s="26">
        <v>25</v>
      </c>
      <c r="T296" s="33">
        <f t="shared" si="64"/>
        <v>48</v>
      </c>
      <c r="U296" s="26">
        <v>20</v>
      </c>
      <c r="V296" s="26">
        <v>25</v>
      </c>
      <c r="W296" s="33">
        <f t="shared" si="65"/>
        <v>45</v>
      </c>
      <c r="X296" s="26"/>
      <c r="Y296" s="26"/>
      <c r="Z296" s="26"/>
      <c r="AA296" s="33">
        <f t="shared" si="66"/>
        <v>329</v>
      </c>
      <c r="AB296" s="26" t="s">
        <v>274</v>
      </c>
      <c r="AC296" s="29"/>
    </row>
    <row r="297" spans="1:29" ht="15.6" x14ac:dyDescent="0.3">
      <c r="A297" s="26">
        <v>4</v>
      </c>
      <c r="B297" s="27" t="s">
        <v>571</v>
      </c>
      <c r="C297" s="26">
        <v>25</v>
      </c>
      <c r="D297" s="26">
        <v>19</v>
      </c>
      <c r="E297" s="33">
        <f>SUM(C297:D297)</f>
        <v>44</v>
      </c>
      <c r="F297" s="26">
        <v>25</v>
      </c>
      <c r="G297" s="26">
        <v>19</v>
      </c>
      <c r="H297" s="33">
        <f t="shared" si="60"/>
        <v>44</v>
      </c>
      <c r="I297" s="26">
        <v>20</v>
      </c>
      <c r="J297" s="26">
        <v>25</v>
      </c>
      <c r="K297" s="33">
        <f t="shared" si="61"/>
        <v>45</v>
      </c>
      <c r="L297" s="26">
        <v>25</v>
      </c>
      <c r="M297" s="26">
        <v>28</v>
      </c>
      <c r="N297" s="33">
        <f t="shared" si="62"/>
        <v>53</v>
      </c>
      <c r="O297" s="26">
        <v>44</v>
      </c>
      <c r="P297" s="26">
        <v>26</v>
      </c>
      <c r="Q297" s="33">
        <f t="shared" si="63"/>
        <v>70</v>
      </c>
      <c r="R297" s="26">
        <v>23</v>
      </c>
      <c r="S297" s="26">
        <v>30</v>
      </c>
      <c r="T297" s="33">
        <f t="shared" si="64"/>
        <v>53</v>
      </c>
      <c r="U297" s="26">
        <v>20</v>
      </c>
      <c r="V297" s="26">
        <v>25</v>
      </c>
      <c r="W297" s="33">
        <f t="shared" si="65"/>
        <v>45</v>
      </c>
      <c r="X297" s="26"/>
      <c r="Y297" s="26"/>
      <c r="Z297" s="26"/>
      <c r="AA297" s="33">
        <f t="shared" si="66"/>
        <v>354</v>
      </c>
      <c r="AB297" s="26" t="s">
        <v>274</v>
      </c>
      <c r="AC297" s="29"/>
    </row>
    <row r="298" spans="1:29" ht="15.6" x14ac:dyDescent="0.3">
      <c r="A298" s="26">
        <v>5</v>
      </c>
      <c r="B298" s="27" t="s">
        <v>572</v>
      </c>
      <c r="C298" s="26">
        <v>14</v>
      </c>
      <c r="D298" s="26">
        <v>19</v>
      </c>
      <c r="E298" s="33">
        <f>SUM(C298:D298)</f>
        <v>33</v>
      </c>
      <c r="F298" s="26">
        <v>18</v>
      </c>
      <c r="G298" s="26">
        <v>14</v>
      </c>
      <c r="H298" s="33">
        <f t="shared" si="60"/>
        <v>32</v>
      </c>
      <c r="I298" s="26">
        <v>27</v>
      </c>
      <c r="J298" s="26">
        <v>25</v>
      </c>
      <c r="K298" s="33">
        <f t="shared" si="61"/>
        <v>52</v>
      </c>
      <c r="L298" s="26">
        <v>23</v>
      </c>
      <c r="M298" s="26">
        <v>22</v>
      </c>
      <c r="N298" s="33">
        <f t="shared" si="62"/>
        <v>45</v>
      </c>
      <c r="O298" s="26">
        <v>28</v>
      </c>
      <c r="P298" s="26">
        <v>25</v>
      </c>
      <c r="Q298" s="33">
        <f t="shared" si="63"/>
        <v>53</v>
      </c>
      <c r="R298" s="26">
        <v>19</v>
      </c>
      <c r="S298" s="26">
        <v>25</v>
      </c>
      <c r="T298" s="33">
        <f t="shared" si="64"/>
        <v>44</v>
      </c>
      <c r="U298" s="26">
        <v>18</v>
      </c>
      <c r="V298" s="26">
        <v>25</v>
      </c>
      <c r="W298" s="37">
        <f t="shared" si="65"/>
        <v>43</v>
      </c>
      <c r="X298" s="29"/>
      <c r="Y298" s="29"/>
      <c r="Z298" s="29"/>
      <c r="AA298" s="33">
        <f t="shared" si="66"/>
        <v>302</v>
      </c>
      <c r="AB298" s="26" t="s">
        <v>274</v>
      </c>
      <c r="AC298" s="29"/>
    </row>
    <row r="299" spans="1:29" ht="15.6" x14ac:dyDescent="0.3">
      <c r="A299" s="26"/>
      <c r="B299" s="26"/>
      <c r="C299" s="26"/>
      <c r="D299" s="26"/>
      <c r="E299" s="33"/>
      <c r="F299" s="26"/>
      <c r="G299" s="26"/>
      <c r="H299" s="33"/>
      <c r="I299" s="26"/>
      <c r="J299" s="26"/>
      <c r="K299" s="33"/>
      <c r="L299" s="26"/>
      <c r="M299" s="26"/>
      <c r="N299" s="33"/>
      <c r="O299" s="26"/>
      <c r="P299" s="26"/>
      <c r="Q299" s="33"/>
      <c r="R299" s="26"/>
      <c r="S299" s="26"/>
      <c r="T299" s="33"/>
      <c r="U299" s="26"/>
      <c r="V299" s="26"/>
      <c r="W299" s="37"/>
      <c r="X299" s="29"/>
      <c r="Y299" s="29"/>
      <c r="Z299" s="29"/>
      <c r="AA299" s="33"/>
      <c r="AB299" s="26"/>
      <c r="AC299" s="29"/>
    </row>
    <row r="300" spans="1:29" ht="15.6" x14ac:dyDescent="0.3">
      <c r="A300" s="26"/>
      <c r="B300" s="26"/>
      <c r="C300" s="26"/>
      <c r="D300" s="26"/>
      <c r="E300" s="33"/>
      <c r="F300" s="26"/>
      <c r="G300" s="26"/>
      <c r="H300" s="33"/>
      <c r="I300" s="26"/>
      <c r="J300" s="26"/>
      <c r="K300" s="33"/>
      <c r="L300" s="26"/>
      <c r="M300" s="26"/>
      <c r="N300" s="33"/>
      <c r="O300" s="26"/>
      <c r="P300" s="26"/>
      <c r="Q300" s="33"/>
      <c r="R300" s="26"/>
      <c r="S300" s="26"/>
      <c r="T300" s="33"/>
      <c r="U300" s="26"/>
      <c r="V300" s="26"/>
      <c r="W300" s="37"/>
      <c r="X300" s="29"/>
      <c r="Y300" s="29"/>
      <c r="Z300" s="29"/>
      <c r="AA300" s="33"/>
      <c r="AB300" s="26"/>
      <c r="AC300" s="29"/>
    </row>
    <row r="301" spans="1:29" ht="15.6" x14ac:dyDescent="0.3">
      <c r="A301" s="26"/>
      <c r="B301" s="26"/>
      <c r="C301" s="26"/>
      <c r="D301" s="26"/>
      <c r="E301" s="33"/>
      <c r="F301" s="26"/>
      <c r="G301" s="26"/>
      <c r="H301" s="33"/>
      <c r="I301" s="26"/>
      <c r="J301" s="26"/>
      <c r="K301" s="33"/>
      <c r="L301" s="26"/>
      <c r="M301" s="26"/>
      <c r="N301" s="33"/>
      <c r="O301" s="26"/>
      <c r="P301" s="26"/>
      <c r="Q301" s="33"/>
      <c r="R301" s="26"/>
      <c r="S301" s="26"/>
      <c r="T301" s="33"/>
      <c r="U301" s="26"/>
      <c r="V301" s="26"/>
      <c r="W301" s="37"/>
      <c r="X301" s="29"/>
      <c r="Y301" s="29"/>
      <c r="Z301" s="29"/>
      <c r="AA301" s="33"/>
      <c r="AB301" s="26"/>
      <c r="AC301" s="29"/>
    </row>
    <row r="302" spans="1:29" ht="15.6" x14ac:dyDescent="0.3">
      <c r="A302" s="26"/>
      <c r="B302" s="26"/>
      <c r="C302" s="26"/>
      <c r="D302" s="26"/>
      <c r="E302" s="33"/>
      <c r="F302" s="26"/>
      <c r="G302" s="26"/>
      <c r="H302" s="33"/>
      <c r="I302" s="26"/>
      <c r="J302" s="26"/>
      <c r="K302" s="33"/>
      <c r="L302" s="26"/>
      <c r="M302" s="26"/>
      <c r="N302" s="33"/>
      <c r="O302" s="26"/>
      <c r="P302" s="26"/>
      <c r="Q302" s="33"/>
      <c r="R302" s="26"/>
      <c r="S302" s="26"/>
      <c r="T302" s="33"/>
      <c r="U302" s="26"/>
      <c r="V302" s="26"/>
      <c r="W302" s="37"/>
      <c r="X302" s="29"/>
      <c r="Y302" s="29"/>
      <c r="Z302" s="29"/>
      <c r="AA302" s="33"/>
      <c r="AB302" s="26"/>
      <c r="AC302" s="29"/>
    </row>
    <row r="303" spans="1:29" ht="15.6" x14ac:dyDescent="0.3">
      <c r="A303" s="26"/>
      <c r="B303" s="26"/>
      <c r="C303" s="26"/>
      <c r="D303" s="26"/>
      <c r="E303" s="33"/>
      <c r="F303" s="26"/>
      <c r="G303" s="26"/>
      <c r="H303" s="33"/>
      <c r="I303" s="26"/>
      <c r="J303" s="26"/>
      <c r="K303" s="33"/>
      <c r="L303" s="26"/>
      <c r="M303" s="26"/>
      <c r="N303" s="33"/>
      <c r="O303" s="26"/>
      <c r="P303" s="26"/>
      <c r="Q303" s="33"/>
      <c r="R303" s="26"/>
      <c r="S303" s="26"/>
      <c r="T303" s="33"/>
      <c r="U303" s="26"/>
      <c r="V303" s="26"/>
      <c r="W303" s="37"/>
      <c r="X303" s="29"/>
      <c r="Y303" s="29"/>
      <c r="Z303" s="29"/>
      <c r="AA303" s="33"/>
      <c r="AB303" s="26"/>
      <c r="AC303" s="29"/>
    </row>
    <row r="304" spans="1:29" ht="15.6" x14ac:dyDescent="0.3">
      <c r="A304" s="26"/>
      <c r="B304" s="26"/>
      <c r="C304" s="26"/>
      <c r="D304" s="26"/>
      <c r="E304" s="33"/>
      <c r="F304" s="26"/>
      <c r="G304" s="26"/>
      <c r="H304" s="33"/>
      <c r="I304" s="26"/>
      <c r="J304" s="26"/>
      <c r="K304" s="33"/>
      <c r="L304" s="26"/>
      <c r="M304" s="26"/>
      <c r="N304" s="33"/>
      <c r="O304" s="26"/>
      <c r="P304" s="26"/>
      <c r="Q304" s="33"/>
      <c r="R304" s="26"/>
      <c r="S304" s="26"/>
      <c r="T304" s="33"/>
      <c r="U304" s="26"/>
      <c r="V304" s="26"/>
      <c r="W304" s="37"/>
      <c r="X304" s="29"/>
      <c r="Y304" s="29"/>
      <c r="Z304" s="29"/>
      <c r="AA304" s="33"/>
      <c r="AB304" s="26"/>
      <c r="AC304" s="29"/>
    </row>
    <row r="305" spans="1:29" ht="15.6" x14ac:dyDescent="0.3">
      <c r="A305" s="26"/>
      <c r="B305" s="26"/>
      <c r="C305" s="26"/>
      <c r="D305" s="26"/>
      <c r="E305" s="33"/>
      <c r="F305" s="26"/>
      <c r="G305" s="26"/>
      <c r="H305" s="33"/>
      <c r="I305" s="26"/>
      <c r="J305" s="26"/>
      <c r="K305" s="33"/>
      <c r="L305" s="26"/>
      <c r="M305" s="26"/>
      <c r="N305" s="33"/>
      <c r="O305" s="26"/>
      <c r="P305" s="26"/>
      <c r="Q305" s="33"/>
      <c r="R305" s="26"/>
      <c r="S305" s="26"/>
      <c r="T305" s="33"/>
      <c r="U305" s="26"/>
      <c r="V305" s="26"/>
      <c r="W305" s="37"/>
      <c r="X305" s="29"/>
      <c r="Y305" s="29"/>
      <c r="Z305" s="29"/>
      <c r="AA305" s="33"/>
      <c r="AB305" s="26"/>
      <c r="AC305" s="29"/>
    </row>
    <row r="306" spans="1:29" ht="15.6" x14ac:dyDescent="0.3">
      <c r="A306" s="26"/>
      <c r="B306" s="26"/>
      <c r="C306" s="26"/>
      <c r="D306" s="26"/>
      <c r="E306" s="33"/>
      <c r="F306" s="26"/>
      <c r="G306" s="26"/>
      <c r="H306" s="33"/>
      <c r="I306" s="26"/>
      <c r="J306" s="26"/>
      <c r="K306" s="33"/>
      <c r="L306" s="26"/>
      <c r="M306" s="26"/>
      <c r="N306" s="33"/>
      <c r="O306" s="26"/>
      <c r="P306" s="26"/>
      <c r="Q306" s="33"/>
      <c r="R306" s="26"/>
      <c r="S306" s="26"/>
      <c r="T306" s="33"/>
      <c r="U306" s="26"/>
      <c r="V306" s="26"/>
      <c r="W306" s="37"/>
      <c r="X306" s="29"/>
      <c r="Y306" s="29"/>
      <c r="Z306" s="29"/>
      <c r="AA306" s="33"/>
      <c r="AB306" s="26"/>
      <c r="AC306" s="29"/>
    </row>
    <row r="307" spans="1:29" ht="15.6" x14ac:dyDescent="0.3">
      <c r="A307" s="26"/>
      <c r="B307" s="26"/>
      <c r="C307" s="26"/>
      <c r="D307" s="26"/>
      <c r="E307" s="33"/>
      <c r="F307" s="26"/>
      <c r="G307" s="26"/>
      <c r="H307" s="33"/>
      <c r="I307" s="26"/>
      <c r="J307" s="26"/>
      <c r="K307" s="33"/>
      <c r="L307" s="26"/>
      <c r="M307" s="26"/>
      <c r="N307" s="33"/>
      <c r="O307" s="26"/>
      <c r="P307" s="26"/>
      <c r="Q307" s="33"/>
      <c r="R307" s="26"/>
      <c r="S307" s="26"/>
      <c r="T307" s="33"/>
      <c r="U307" s="26"/>
      <c r="V307" s="26"/>
      <c r="W307" s="37"/>
      <c r="X307" s="29"/>
      <c r="Y307" s="29"/>
      <c r="Z307" s="29"/>
      <c r="AA307" s="33"/>
      <c r="AB307" s="26"/>
      <c r="AC307" s="29"/>
    </row>
    <row r="308" spans="1:29" ht="15.6" x14ac:dyDescent="0.3">
      <c r="A308" s="26"/>
      <c r="B308" s="26"/>
      <c r="C308" s="26"/>
      <c r="D308" s="26"/>
      <c r="E308" s="33"/>
      <c r="F308" s="26"/>
      <c r="G308" s="26"/>
      <c r="H308" s="33"/>
      <c r="I308" s="26"/>
      <c r="J308" s="26"/>
      <c r="K308" s="33"/>
      <c r="L308" s="26"/>
      <c r="M308" s="26"/>
      <c r="N308" s="33"/>
      <c r="O308" s="26"/>
      <c r="P308" s="26"/>
      <c r="Q308" s="33"/>
      <c r="R308" s="26"/>
      <c r="S308" s="26"/>
      <c r="T308" s="33"/>
      <c r="U308" s="26"/>
      <c r="V308" s="26"/>
      <c r="W308" s="37"/>
      <c r="X308" s="29"/>
      <c r="Y308" s="29"/>
      <c r="Z308" s="29"/>
      <c r="AA308" s="33"/>
      <c r="AB308" s="26"/>
      <c r="AC308" s="29"/>
    </row>
    <row r="309" spans="1:29" ht="15.6" x14ac:dyDescent="0.3">
      <c r="A309" s="26"/>
      <c r="B309" s="26"/>
      <c r="C309" s="26"/>
      <c r="D309" s="26"/>
      <c r="E309" s="33"/>
      <c r="F309" s="26"/>
      <c r="G309" s="26"/>
      <c r="H309" s="33"/>
      <c r="I309" s="26"/>
      <c r="J309" s="26"/>
      <c r="K309" s="33"/>
      <c r="L309" s="26"/>
      <c r="M309" s="26"/>
      <c r="N309" s="33"/>
      <c r="O309" s="26"/>
      <c r="P309" s="26"/>
      <c r="Q309" s="33"/>
      <c r="R309" s="26"/>
      <c r="S309" s="26"/>
      <c r="T309" s="33"/>
      <c r="U309" s="26"/>
      <c r="V309" s="26"/>
      <c r="W309" s="37"/>
      <c r="X309" s="29"/>
      <c r="Y309" s="29"/>
      <c r="Z309" s="29"/>
      <c r="AA309" s="33"/>
      <c r="AB309" s="26"/>
      <c r="AC309" s="29"/>
    </row>
    <row r="310" spans="1:29" ht="15.6" x14ac:dyDescent="0.3">
      <c r="A310" s="26"/>
      <c r="B310" s="26"/>
      <c r="C310" s="26"/>
      <c r="D310" s="26"/>
      <c r="E310" s="33"/>
      <c r="F310" s="26"/>
      <c r="G310" s="26"/>
      <c r="H310" s="33"/>
      <c r="I310" s="26"/>
      <c r="J310" s="26"/>
      <c r="K310" s="33"/>
      <c r="L310" s="26"/>
      <c r="M310" s="26"/>
      <c r="N310" s="33"/>
      <c r="O310" s="26"/>
      <c r="P310" s="26"/>
      <c r="Q310" s="33"/>
      <c r="R310" s="26"/>
      <c r="S310" s="26"/>
      <c r="T310" s="33"/>
      <c r="U310" s="26"/>
      <c r="V310" s="26"/>
      <c r="W310" s="37"/>
      <c r="X310" s="29"/>
      <c r="Y310" s="29"/>
      <c r="Z310" s="29"/>
      <c r="AA310" s="33"/>
      <c r="AB310" s="26"/>
      <c r="AC310" s="29"/>
    </row>
    <row r="311" spans="1:29" ht="15.6" x14ac:dyDescent="0.3">
      <c r="A311" s="26"/>
      <c r="B311" s="26"/>
      <c r="C311" s="26"/>
      <c r="D311" s="26"/>
      <c r="E311" s="33"/>
      <c r="F311" s="26"/>
      <c r="G311" s="26"/>
      <c r="H311" s="33"/>
      <c r="I311" s="26"/>
      <c r="J311" s="26"/>
      <c r="K311" s="33"/>
      <c r="L311" s="26"/>
      <c r="M311" s="26"/>
      <c r="N311" s="33"/>
      <c r="O311" s="26"/>
      <c r="P311" s="26"/>
      <c r="Q311" s="33"/>
      <c r="R311" s="26"/>
      <c r="S311" s="26"/>
      <c r="T311" s="33"/>
      <c r="U311" s="26"/>
      <c r="V311" s="26"/>
      <c r="W311" s="37"/>
      <c r="X311" s="29"/>
      <c r="Y311" s="29"/>
      <c r="Z311" s="29"/>
      <c r="AA311" s="33"/>
      <c r="AB311" s="26"/>
      <c r="AC311" s="29"/>
    </row>
    <row r="312" spans="1:29" ht="15.6" x14ac:dyDescent="0.3">
      <c r="A312" s="26"/>
      <c r="B312" s="26"/>
      <c r="C312" s="26"/>
      <c r="D312" s="26"/>
      <c r="E312" s="33"/>
      <c r="F312" s="26"/>
      <c r="G312" s="26"/>
      <c r="H312" s="33"/>
      <c r="I312" s="26"/>
      <c r="J312" s="26"/>
      <c r="K312" s="33"/>
      <c r="L312" s="26"/>
      <c r="M312" s="26"/>
      <c r="N312" s="33"/>
      <c r="O312" s="26"/>
      <c r="P312" s="26"/>
      <c r="Q312" s="33"/>
      <c r="R312" s="26"/>
      <c r="S312" s="26"/>
      <c r="T312" s="33"/>
      <c r="U312" s="26"/>
      <c r="V312" s="26"/>
      <c r="W312" s="37"/>
      <c r="X312" s="29"/>
      <c r="Y312" s="29"/>
      <c r="Z312" s="29"/>
      <c r="AA312" s="33"/>
      <c r="AB312" s="26"/>
      <c r="AC312" s="29"/>
    </row>
    <row r="313" spans="1:29" ht="15.6" x14ac:dyDescent="0.3">
      <c r="A313" s="26"/>
      <c r="B313" s="26"/>
      <c r="C313" s="26"/>
      <c r="D313" s="26"/>
      <c r="E313" s="33"/>
      <c r="F313" s="26"/>
      <c r="G313" s="26"/>
      <c r="H313" s="33"/>
      <c r="I313" s="26"/>
      <c r="J313" s="26"/>
      <c r="K313" s="33"/>
      <c r="L313" s="26"/>
      <c r="M313" s="26"/>
      <c r="N313" s="33"/>
      <c r="O313" s="26"/>
      <c r="P313" s="26"/>
      <c r="Q313" s="33"/>
      <c r="R313" s="26"/>
      <c r="S313" s="26"/>
      <c r="T313" s="33"/>
      <c r="U313" s="26"/>
      <c r="V313" s="26"/>
      <c r="W313" s="37"/>
      <c r="X313" s="29"/>
      <c r="Y313" s="29"/>
      <c r="Z313" s="29"/>
      <c r="AA313" s="33"/>
      <c r="AB313" s="26"/>
      <c r="AC313" s="29"/>
    </row>
    <row r="314" spans="1:29" x14ac:dyDescent="0.25">
      <c r="A314" s="3" t="s">
        <v>430</v>
      </c>
      <c r="B314" s="3"/>
      <c r="C314" s="3"/>
      <c r="D314" s="3"/>
      <c r="E314" s="3"/>
      <c r="F314" s="3"/>
      <c r="G314" s="3" t="s">
        <v>468</v>
      </c>
      <c r="H314" s="3"/>
      <c r="I314" s="3"/>
      <c r="J314" s="3"/>
      <c r="K314" s="3"/>
      <c r="L314" s="3"/>
      <c r="M314" s="3"/>
      <c r="N314" s="3"/>
      <c r="O314" s="3" t="s">
        <v>82</v>
      </c>
      <c r="P314" s="3"/>
      <c r="Q314" s="3"/>
      <c r="R314" s="3"/>
      <c r="S314" s="3"/>
      <c r="T314" s="3"/>
      <c r="U314" s="3" t="s">
        <v>83</v>
      </c>
      <c r="V314" s="3"/>
      <c r="W314" s="3"/>
      <c r="X314" s="3"/>
      <c r="Y314" s="3"/>
      <c r="Z314" s="3"/>
      <c r="AA314" s="3"/>
      <c r="AB314" s="3" t="s">
        <v>84</v>
      </c>
    </row>
    <row r="315" spans="1:29" x14ac:dyDescent="0.25">
      <c r="A315" s="22" t="s">
        <v>89</v>
      </c>
      <c r="B315" s="22"/>
      <c r="C315" s="22"/>
      <c r="D315" s="22"/>
      <c r="E315" s="22"/>
      <c r="F315" s="22" t="s">
        <v>90</v>
      </c>
      <c r="G315" s="22"/>
      <c r="H315" s="22"/>
      <c r="I315" s="22"/>
      <c r="J315" s="22"/>
      <c r="K315" s="22"/>
      <c r="L315" s="22"/>
      <c r="M315" s="22"/>
      <c r="N315" s="22" t="s">
        <v>462</v>
      </c>
      <c r="O315" s="22"/>
      <c r="P315" s="22"/>
      <c r="Q315" s="22"/>
      <c r="R315" s="22"/>
      <c r="S315" s="22"/>
      <c r="T315" s="22" t="s">
        <v>463</v>
      </c>
      <c r="U315" s="22"/>
      <c r="V315" s="22"/>
      <c r="W315" s="22"/>
      <c r="X315" s="22"/>
      <c r="Y315" s="22"/>
      <c r="Z315" s="3"/>
      <c r="AA315" s="3"/>
      <c r="AB315" s="3" t="s">
        <v>85</v>
      </c>
    </row>
    <row r="316" spans="1:29" x14ac:dyDescent="0.25">
      <c r="A316" s="22" t="s">
        <v>466</v>
      </c>
      <c r="B316" s="22"/>
      <c r="C316" s="22"/>
      <c r="D316" s="22"/>
      <c r="E316" s="22"/>
      <c r="F316" s="22" t="s">
        <v>91</v>
      </c>
      <c r="G316" s="22"/>
      <c r="H316" s="22"/>
      <c r="I316" s="22"/>
      <c r="J316" s="22"/>
      <c r="K316" s="22"/>
      <c r="L316" s="22"/>
      <c r="M316" s="22"/>
      <c r="N316" s="22" t="s">
        <v>94</v>
      </c>
      <c r="O316" s="22"/>
      <c r="P316" s="22"/>
      <c r="Q316" s="22"/>
      <c r="R316" s="22"/>
      <c r="S316" s="22"/>
      <c r="T316" s="22" t="s">
        <v>97</v>
      </c>
      <c r="U316" s="22"/>
      <c r="V316" s="22"/>
      <c r="W316" s="22"/>
      <c r="X316" s="22"/>
      <c r="Y316" s="22"/>
      <c r="Z316" s="3"/>
      <c r="AA316" s="3"/>
      <c r="AB316" s="3" t="s">
        <v>99</v>
      </c>
    </row>
    <row r="317" spans="1:29" x14ac:dyDescent="0.25">
      <c r="A317" s="22" t="s">
        <v>89</v>
      </c>
      <c r="B317" s="22"/>
      <c r="C317" s="22"/>
      <c r="D317" s="22"/>
      <c r="E317" s="22"/>
      <c r="F317" s="22" t="s">
        <v>92</v>
      </c>
      <c r="G317" s="22"/>
      <c r="H317" s="22"/>
      <c r="I317" s="22"/>
      <c r="J317" s="22"/>
      <c r="K317" s="22"/>
      <c r="L317" s="22"/>
      <c r="M317" s="22"/>
      <c r="N317" s="22" t="s">
        <v>95</v>
      </c>
      <c r="O317" s="22"/>
      <c r="P317" s="22"/>
      <c r="Q317" s="22"/>
      <c r="R317" s="22"/>
      <c r="S317" s="22"/>
      <c r="T317" s="22" t="s">
        <v>98</v>
      </c>
      <c r="U317" s="22"/>
      <c r="V317" s="22"/>
      <c r="W317" s="22"/>
      <c r="X317" s="22"/>
      <c r="Y317" s="22"/>
      <c r="Z317" s="3"/>
      <c r="AA317" s="3"/>
      <c r="AB317" s="3"/>
    </row>
  </sheetData>
  <mergeCells count="126">
    <mergeCell ref="A291:A293"/>
    <mergeCell ref="B291:B293"/>
    <mergeCell ref="C291:E291"/>
    <mergeCell ref="F291:H291"/>
    <mergeCell ref="I291:K291"/>
    <mergeCell ref="L291:N291"/>
    <mergeCell ref="O291:Q291"/>
    <mergeCell ref="U291:W291"/>
    <mergeCell ref="X291:X293"/>
    <mergeCell ref="Y291:Y293"/>
    <mergeCell ref="Z291:Z293"/>
    <mergeCell ref="AA291:AA293"/>
    <mergeCell ref="AB291:AB293"/>
    <mergeCell ref="AC291:AC293"/>
    <mergeCell ref="O7:Q7"/>
    <mergeCell ref="U7:W7"/>
    <mergeCell ref="AB117:AB119"/>
    <mergeCell ref="AC117:AC119"/>
    <mergeCell ref="Y117:Y119"/>
    <mergeCell ref="Z117:Z119"/>
    <mergeCell ref="AA117:AA119"/>
    <mergeCell ref="AB7:AB9"/>
    <mergeCell ref="AC7:AC9"/>
    <mergeCell ref="X7:X9"/>
    <mergeCell ref="Y7:Y9"/>
    <mergeCell ref="Z7:Z9"/>
    <mergeCell ref="AA7:AA9"/>
    <mergeCell ref="AA79:AA81"/>
    <mergeCell ref="AB79:AB81"/>
    <mergeCell ref="AC79:AC81"/>
    <mergeCell ref="AA43:AA45"/>
    <mergeCell ref="AB43:AB45"/>
    <mergeCell ref="AC43:AC45"/>
    <mergeCell ref="A117:A119"/>
    <mergeCell ref="B117:B119"/>
    <mergeCell ref="C117:E117"/>
    <mergeCell ref="F117:H117"/>
    <mergeCell ref="I117:K117"/>
    <mergeCell ref="L117:N117"/>
    <mergeCell ref="O117:Q117"/>
    <mergeCell ref="U117:W117"/>
    <mergeCell ref="X117:X119"/>
    <mergeCell ref="O43:Q43"/>
    <mergeCell ref="U43:W43"/>
    <mergeCell ref="Z79:Z81"/>
    <mergeCell ref="X79:X81"/>
    <mergeCell ref="Y79:Y81"/>
    <mergeCell ref="X43:X45"/>
    <mergeCell ref="Y43:Y45"/>
    <mergeCell ref="Z43:Z45"/>
    <mergeCell ref="O79:Q79"/>
    <mergeCell ref="U79:W79"/>
    <mergeCell ref="A7:A9"/>
    <mergeCell ref="B7:B9"/>
    <mergeCell ref="C7:E7"/>
    <mergeCell ref="F7:H7"/>
    <mergeCell ref="I7:K7"/>
    <mergeCell ref="L7:N7"/>
    <mergeCell ref="A79:A81"/>
    <mergeCell ref="B79:B81"/>
    <mergeCell ref="C79:E79"/>
    <mergeCell ref="F79:H79"/>
    <mergeCell ref="I79:K79"/>
    <mergeCell ref="L79:N79"/>
    <mergeCell ref="A43:A45"/>
    <mergeCell ref="B43:B45"/>
    <mergeCell ref="C43:E43"/>
    <mergeCell ref="F43:H43"/>
    <mergeCell ref="I43:K43"/>
    <mergeCell ref="L43:N43"/>
    <mergeCell ref="A151:A153"/>
    <mergeCell ref="B151:B153"/>
    <mergeCell ref="C151:E151"/>
    <mergeCell ref="F151:H151"/>
    <mergeCell ref="I151:K151"/>
    <mergeCell ref="L151:N151"/>
    <mergeCell ref="O151:Q151"/>
    <mergeCell ref="U151:W151"/>
    <mergeCell ref="X151:X153"/>
    <mergeCell ref="Z221:Z223"/>
    <mergeCell ref="AA221:AA223"/>
    <mergeCell ref="AB221:AB223"/>
    <mergeCell ref="AC221:AC223"/>
    <mergeCell ref="A186:A188"/>
    <mergeCell ref="B186:B188"/>
    <mergeCell ref="C186:E186"/>
    <mergeCell ref="F186:H186"/>
    <mergeCell ref="I186:K186"/>
    <mergeCell ref="L186:N186"/>
    <mergeCell ref="O186:Q186"/>
    <mergeCell ref="U186:W186"/>
    <mergeCell ref="X186:X188"/>
    <mergeCell ref="Y151:Y153"/>
    <mergeCell ref="Z151:Z153"/>
    <mergeCell ref="AA151:AA153"/>
    <mergeCell ref="AB151:AB153"/>
    <mergeCell ref="AC151:AC153"/>
    <mergeCell ref="Y186:Y188"/>
    <mergeCell ref="Z186:Z188"/>
    <mergeCell ref="AA186:AA188"/>
    <mergeCell ref="AB186:AB188"/>
    <mergeCell ref="AC186:AC188"/>
    <mergeCell ref="Y256:Y258"/>
    <mergeCell ref="Z256:Z258"/>
    <mergeCell ref="AA256:AA258"/>
    <mergeCell ref="AB256:AB258"/>
    <mergeCell ref="AC256:AC258"/>
    <mergeCell ref="A221:A223"/>
    <mergeCell ref="B221:B223"/>
    <mergeCell ref="C221:E221"/>
    <mergeCell ref="F221:H221"/>
    <mergeCell ref="I221:K221"/>
    <mergeCell ref="A256:A258"/>
    <mergeCell ref="B256:B258"/>
    <mergeCell ref="C256:E256"/>
    <mergeCell ref="F256:H256"/>
    <mergeCell ref="I256:K256"/>
    <mergeCell ref="L256:N256"/>
    <mergeCell ref="O256:Q256"/>
    <mergeCell ref="U256:W256"/>
    <mergeCell ref="X256:X258"/>
    <mergeCell ref="L221:N221"/>
    <mergeCell ref="O221:Q221"/>
    <mergeCell ref="U221:W221"/>
    <mergeCell ref="X221:X223"/>
    <mergeCell ref="Y221:Y223"/>
  </mergeCells>
  <pageMargins left="0.11811023622047245" right="0.31496062992125984" top="0.39370078740157483" bottom="0.39370078740157483" header="0.31496062992125984" footer="0.31496062992125984"/>
  <pageSetup paperSize="9" scale="87" fitToHeight="0" orientation="landscape" r:id="rId1"/>
  <rowBreaks count="7" manualBreakCount="7">
    <brk id="36" max="29" man="1"/>
    <brk id="72" max="29" man="1"/>
    <brk id="144" max="16383" man="1"/>
    <brk id="179" max="16383" man="1"/>
    <brk id="214" max="29" man="1"/>
    <brk id="249" max="16383" man="1"/>
    <brk id="284" max="2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279"/>
  <sheetViews>
    <sheetView rightToLeft="1" topLeftCell="A164" zoomScaleNormal="100" workbookViewId="0">
      <selection activeCell="A209" sqref="A177:AC209"/>
    </sheetView>
  </sheetViews>
  <sheetFormatPr defaultRowHeight="13.8" x14ac:dyDescent="0.25"/>
  <cols>
    <col min="1" max="1" width="3.19921875" customWidth="1"/>
    <col min="2" max="2" width="22.19921875" bestFit="1" customWidth="1"/>
    <col min="3" max="3" width="3.19921875" customWidth="1"/>
    <col min="4" max="4" width="3.09765625" customWidth="1"/>
    <col min="5" max="5" width="4.59765625" bestFit="1" customWidth="1"/>
    <col min="6" max="6" width="3.5" customWidth="1"/>
    <col min="7" max="7" width="3.3984375" customWidth="1"/>
    <col min="8" max="8" width="4.296875" customWidth="1"/>
    <col min="9" max="9" width="3.19921875" customWidth="1"/>
    <col min="10" max="10" width="3.3984375" customWidth="1"/>
    <col min="11" max="11" width="4.5" customWidth="1"/>
    <col min="12" max="12" width="3.3984375" customWidth="1"/>
    <col min="13" max="13" width="3.296875" customWidth="1"/>
    <col min="14" max="14" width="4.8984375" customWidth="1"/>
    <col min="15" max="15" width="3.69921875" customWidth="1"/>
    <col min="16" max="16" width="3.09765625" customWidth="1"/>
    <col min="17" max="17" width="4.5" customWidth="1"/>
    <col min="18" max="19" width="3.5" customWidth="1"/>
    <col min="20" max="20" width="4.3984375" customWidth="1"/>
    <col min="21" max="21" width="5" customWidth="1"/>
    <col min="22" max="22" width="4.19921875" customWidth="1"/>
    <col min="23" max="23" width="4.8984375" style="2" customWidth="1"/>
    <col min="24" max="24" width="2.8984375" customWidth="1"/>
    <col min="25" max="25" width="3.59765625" customWidth="1"/>
    <col min="26" max="26" width="3.296875" customWidth="1"/>
    <col min="27" max="27" width="7" style="2" customWidth="1"/>
    <col min="28" max="28" width="7.3984375" customWidth="1"/>
    <col min="29" max="29" width="9.3984375" customWidth="1"/>
  </cols>
  <sheetData>
    <row r="1" spans="1:29" ht="15.6" x14ac:dyDescent="0.3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"/>
      <c r="X1" s="6"/>
      <c r="Y1" s="6"/>
      <c r="Z1" s="6"/>
      <c r="AA1" s="5"/>
      <c r="AB1" s="6"/>
      <c r="AC1" s="6"/>
    </row>
    <row r="2" spans="1:29" ht="15.6" x14ac:dyDescent="0.3">
      <c r="B2" s="15" t="s">
        <v>494</v>
      </c>
      <c r="C2" s="6"/>
      <c r="D2" s="6"/>
      <c r="E2" s="6"/>
      <c r="F2" s="6"/>
      <c r="G2" s="6"/>
      <c r="H2" s="6"/>
      <c r="I2" s="6"/>
      <c r="J2" s="6"/>
      <c r="K2" s="6"/>
      <c r="L2" s="6"/>
      <c r="M2" s="6" t="s">
        <v>467</v>
      </c>
      <c r="N2" s="6"/>
      <c r="O2" s="6"/>
      <c r="P2" s="6"/>
      <c r="Q2" s="6"/>
      <c r="R2" s="6"/>
      <c r="S2" s="6"/>
      <c r="T2" s="6"/>
      <c r="U2" s="6"/>
      <c r="V2" s="6"/>
      <c r="W2" s="5"/>
      <c r="X2" s="6"/>
      <c r="Y2" s="6"/>
      <c r="Z2" s="6"/>
      <c r="AA2" s="5" t="s">
        <v>456</v>
      </c>
      <c r="AB2" s="6"/>
    </row>
    <row r="3" spans="1:29" ht="15.6" x14ac:dyDescent="0.3">
      <c r="B3" s="15" t="s">
        <v>81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/>
      <c r="X3" s="6"/>
      <c r="Y3" s="6"/>
      <c r="Z3" s="6"/>
      <c r="AA3" s="5" t="s">
        <v>100</v>
      </c>
      <c r="AB3" s="5"/>
    </row>
    <row r="4" spans="1:29" ht="15.6" x14ac:dyDescent="0.3">
      <c r="B4" s="15" t="s">
        <v>459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5"/>
      <c r="X4" s="6"/>
      <c r="Y4" s="6"/>
      <c r="Z4" s="6"/>
      <c r="AA4" s="5" t="s">
        <v>247</v>
      </c>
      <c r="AB4" s="5"/>
    </row>
    <row r="5" spans="1:29" ht="15.6" x14ac:dyDescent="0.3">
      <c r="B5" s="15" t="s">
        <v>460</v>
      </c>
      <c r="C5" s="6"/>
      <c r="D5" s="6"/>
      <c r="E5" s="6"/>
      <c r="F5" s="6"/>
      <c r="G5" s="6"/>
      <c r="H5" s="6"/>
      <c r="I5" s="6"/>
      <c r="J5" s="6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/>
      <c r="X5" s="6"/>
      <c r="Y5" s="6"/>
      <c r="Z5" s="6"/>
      <c r="AA5" s="5" t="s">
        <v>103</v>
      </c>
      <c r="AB5" s="5"/>
    </row>
    <row r="6" spans="1:29" ht="15.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5"/>
      <c r="X6" s="6"/>
      <c r="Y6" s="6"/>
      <c r="Z6" s="6"/>
      <c r="AA6" s="5" t="s">
        <v>104</v>
      </c>
      <c r="AB6" s="5"/>
    </row>
    <row r="7" spans="1:29" ht="15.6" x14ac:dyDescent="0.3">
      <c r="B7" s="6"/>
      <c r="C7" s="5" t="s">
        <v>482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5"/>
      <c r="X7" s="6"/>
      <c r="Y7" s="6"/>
      <c r="Z7" s="6"/>
      <c r="AA7" s="5"/>
      <c r="AB7" s="5"/>
      <c r="AC7" s="5"/>
    </row>
    <row r="8" spans="1:29" ht="15" customHeight="1" x14ac:dyDescent="0.3">
      <c r="A8" s="63" t="s">
        <v>0</v>
      </c>
      <c r="B8" s="66" t="s">
        <v>469</v>
      </c>
      <c r="C8" s="60" t="s">
        <v>458</v>
      </c>
      <c r="D8" s="61"/>
      <c r="E8" s="62"/>
      <c r="F8" s="60" t="s">
        <v>1</v>
      </c>
      <c r="G8" s="61"/>
      <c r="H8" s="62"/>
      <c r="I8" s="60" t="s">
        <v>2</v>
      </c>
      <c r="J8" s="61"/>
      <c r="K8" s="62"/>
      <c r="L8" s="60" t="s">
        <v>8</v>
      </c>
      <c r="M8" s="61"/>
      <c r="N8" s="62"/>
      <c r="O8" s="60" t="s">
        <v>3</v>
      </c>
      <c r="P8" s="61"/>
      <c r="Q8" s="62"/>
      <c r="R8" s="31"/>
      <c r="S8" s="31" t="s">
        <v>4</v>
      </c>
      <c r="T8" s="31"/>
      <c r="U8" s="60" t="s">
        <v>5</v>
      </c>
      <c r="V8" s="61"/>
      <c r="W8" s="62"/>
      <c r="X8" s="57" t="s">
        <v>16</v>
      </c>
      <c r="Y8" s="57" t="s">
        <v>17</v>
      </c>
      <c r="Z8" s="57" t="s">
        <v>18</v>
      </c>
      <c r="AA8" s="57" t="s">
        <v>19</v>
      </c>
      <c r="AB8" s="57" t="s">
        <v>20</v>
      </c>
      <c r="AC8" s="57" t="s">
        <v>21</v>
      </c>
    </row>
    <row r="9" spans="1:29" ht="55.2" x14ac:dyDescent="0.25">
      <c r="A9" s="64"/>
      <c r="B9" s="67"/>
      <c r="C9" s="32" t="s">
        <v>6</v>
      </c>
      <c r="D9" s="32" t="s">
        <v>461</v>
      </c>
      <c r="E9" s="32" t="s">
        <v>7</v>
      </c>
      <c r="F9" s="32" t="s">
        <v>6</v>
      </c>
      <c r="G9" s="32" t="s">
        <v>461</v>
      </c>
      <c r="H9" s="32" t="s">
        <v>7</v>
      </c>
      <c r="I9" s="32" t="s">
        <v>6</v>
      </c>
      <c r="J9" s="32" t="s">
        <v>461</v>
      </c>
      <c r="K9" s="32" t="s">
        <v>7</v>
      </c>
      <c r="L9" s="32" t="s">
        <v>6</v>
      </c>
      <c r="M9" s="32" t="s">
        <v>461</v>
      </c>
      <c r="N9" s="32" t="s">
        <v>7</v>
      </c>
      <c r="O9" s="32" t="s">
        <v>6</v>
      </c>
      <c r="P9" s="32" t="s">
        <v>461</v>
      </c>
      <c r="Q9" s="32" t="s">
        <v>7</v>
      </c>
      <c r="R9" s="32" t="s">
        <v>6</v>
      </c>
      <c r="S9" s="32" t="s">
        <v>461</v>
      </c>
      <c r="T9" s="32" t="s">
        <v>7</v>
      </c>
      <c r="U9" s="32" t="s">
        <v>6</v>
      </c>
      <c r="V9" s="32" t="s">
        <v>461</v>
      </c>
      <c r="W9" s="32" t="s">
        <v>7</v>
      </c>
      <c r="X9" s="58"/>
      <c r="Y9" s="58"/>
      <c r="Z9" s="58"/>
      <c r="AA9" s="58"/>
      <c r="AB9" s="58"/>
      <c r="AC9" s="58"/>
    </row>
    <row r="10" spans="1:29" ht="15.6" x14ac:dyDescent="0.3">
      <c r="A10" s="65"/>
      <c r="B10" s="68"/>
      <c r="C10" s="33">
        <v>50</v>
      </c>
      <c r="D10" s="33">
        <v>50</v>
      </c>
      <c r="E10" s="33">
        <v>100</v>
      </c>
      <c r="F10" s="33">
        <v>50</v>
      </c>
      <c r="G10" s="33">
        <v>50</v>
      </c>
      <c r="H10" s="33">
        <v>100</v>
      </c>
      <c r="I10" s="33">
        <v>50</v>
      </c>
      <c r="J10" s="33">
        <v>50</v>
      </c>
      <c r="K10" s="33">
        <v>100</v>
      </c>
      <c r="L10" s="33">
        <v>50</v>
      </c>
      <c r="M10" s="33">
        <v>50</v>
      </c>
      <c r="N10" s="33">
        <v>100</v>
      </c>
      <c r="O10" s="33">
        <v>50</v>
      </c>
      <c r="P10" s="33">
        <v>50</v>
      </c>
      <c r="Q10" s="33">
        <v>100</v>
      </c>
      <c r="R10" s="33">
        <v>50</v>
      </c>
      <c r="S10" s="33">
        <v>50</v>
      </c>
      <c r="T10" s="33">
        <v>100</v>
      </c>
      <c r="U10" s="33">
        <v>50</v>
      </c>
      <c r="V10" s="33">
        <v>50</v>
      </c>
      <c r="W10" s="33">
        <v>100</v>
      </c>
      <c r="X10" s="59"/>
      <c r="Y10" s="59"/>
      <c r="Z10" s="59"/>
      <c r="AA10" s="59"/>
      <c r="AB10" s="59"/>
      <c r="AC10" s="59"/>
    </row>
    <row r="11" spans="1:29" ht="15.6" x14ac:dyDescent="0.3">
      <c r="A11" s="4">
        <v>1</v>
      </c>
      <c r="B11" s="27" t="s">
        <v>229</v>
      </c>
      <c r="C11" s="26">
        <v>29</v>
      </c>
      <c r="D11" s="26">
        <v>29</v>
      </c>
      <c r="E11" s="33">
        <f t="shared" ref="E11:E19" si="0">SUM(C11:D11)</f>
        <v>58</v>
      </c>
      <c r="F11" s="26">
        <v>23</v>
      </c>
      <c r="G11" s="26">
        <v>30</v>
      </c>
      <c r="H11" s="33">
        <f t="shared" ref="H11:H28" si="1">SUM(F11:G11)</f>
        <v>53</v>
      </c>
      <c r="I11" s="26">
        <v>26</v>
      </c>
      <c r="J11" s="26">
        <v>35</v>
      </c>
      <c r="K11" s="33">
        <f t="shared" ref="K11:K28" si="2">SUM(I11:J11)</f>
        <v>61</v>
      </c>
      <c r="L11" s="26">
        <v>34</v>
      </c>
      <c r="M11" s="26">
        <v>25</v>
      </c>
      <c r="N11" s="33">
        <f t="shared" ref="N11:N28" si="3">SUM(L11:M11)</f>
        <v>59</v>
      </c>
      <c r="O11" s="26">
        <v>20</v>
      </c>
      <c r="P11" s="26">
        <v>30</v>
      </c>
      <c r="Q11" s="33">
        <f t="shared" ref="Q11:Q28" si="4">SUM(O11:P11)</f>
        <v>50</v>
      </c>
      <c r="R11" s="26">
        <v>15</v>
      </c>
      <c r="S11" s="26">
        <v>35</v>
      </c>
      <c r="T11" s="33">
        <f t="shared" ref="T11:T28" si="5">SUM(R11:S11)</f>
        <v>50</v>
      </c>
      <c r="U11" s="26">
        <v>16</v>
      </c>
      <c r="V11" s="26">
        <v>34</v>
      </c>
      <c r="W11" s="33">
        <f t="shared" ref="W11:W28" si="6">SUM(U11:V11)</f>
        <v>50</v>
      </c>
      <c r="X11" s="30"/>
      <c r="Y11" s="30"/>
      <c r="Z11" s="30"/>
      <c r="AA11" s="33">
        <f t="shared" ref="AA11:AA19" si="7">SUM(W11,T11,Q11,N11,K11,H11,E11)</f>
        <v>381</v>
      </c>
      <c r="AB11" s="26" t="s">
        <v>117</v>
      </c>
      <c r="AC11" s="28"/>
    </row>
    <row r="12" spans="1:29" ht="15.6" x14ac:dyDescent="0.3">
      <c r="A12" s="4">
        <v>2</v>
      </c>
      <c r="B12" s="27" t="s">
        <v>230</v>
      </c>
      <c r="C12" s="26">
        <v>25</v>
      </c>
      <c r="D12" s="26">
        <v>25</v>
      </c>
      <c r="E12" s="33">
        <f t="shared" si="0"/>
        <v>50</v>
      </c>
      <c r="F12" s="26">
        <v>26</v>
      </c>
      <c r="G12" s="26">
        <v>28</v>
      </c>
      <c r="H12" s="33">
        <f t="shared" si="1"/>
        <v>54</v>
      </c>
      <c r="I12" s="26">
        <v>25</v>
      </c>
      <c r="J12" s="26">
        <v>33</v>
      </c>
      <c r="K12" s="33">
        <f t="shared" si="2"/>
        <v>58</v>
      </c>
      <c r="L12" s="26">
        <v>26</v>
      </c>
      <c r="M12" s="26">
        <v>25</v>
      </c>
      <c r="N12" s="33">
        <f t="shared" si="3"/>
        <v>51</v>
      </c>
      <c r="O12" s="26">
        <v>29</v>
      </c>
      <c r="P12" s="26">
        <v>39</v>
      </c>
      <c r="Q12" s="33">
        <f t="shared" si="4"/>
        <v>68</v>
      </c>
      <c r="R12" s="26">
        <v>25</v>
      </c>
      <c r="S12" s="26">
        <v>25</v>
      </c>
      <c r="T12" s="33">
        <f t="shared" si="5"/>
        <v>50</v>
      </c>
      <c r="U12" s="26">
        <v>25</v>
      </c>
      <c r="V12" s="26">
        <v>25</v>
      </c>
      <c r="W12" s="33">
        <f t="shared" si="6"/>
        <v>50</v>
      </c>
      <c r="X12" s="30"/>
      <c r="Y12" s="30"/>
      <c r="Z12" s="30"/>
      <c r="AA12" s="33">
        <f t="shared" si="7"/>
        <v>381</v>
      </c>
      <c r="AB12" s="26" t="s">
        <v>117</v>
      </c>
      <c r="AC12" s="28"/>
    </row>
    <row r="13" spans="1:29" ht="15.6" x14ac:dyDescent="0.3">
      <c r="A13" s="4">
        <v>3</v>
      </c>
      <c r="B13" s="27" t="s">
        <v>231</v>
      </c>
      <c r="C13" s="26">
        <v>25</v>
      </c>
      <c r="D13" s="26">
        <v>25</v>
      </c>
      <c r="E13" s="33">
        <f t="shared" si="0"/>
        <v>50</v>
      </c>
      <c r="F13" s="26">
        <v>24</v>
      </c>
      <c r="G13" s="26">
        <v>27</v>
      </c>
      <c r="H13" s="33">
        <f t="shared" si="1"/>
        <v>51</v>
      </c>
      <c r="I13" s="26">
        <v>28</v>
      </c>
      <c r="J13" s="26">
        <v>28</v>
      </c>
      <c r="K13" s="33">
        <f t="shared" si="2"/>
        <v>56</v>
      </c>
      <c r="L13" s="26">
        <v>25</v>
      </c>
      <c r="M13" s="26">
        <v>32</v>
      </c>
      <c r="N13" s="33">
        <f t="shared" si="3"/>
        <v>57</v>
      </c>
      <c r="O13" s="26">
        <v>26</v>
      </c>
      <c r="P13" s="26">
        <v>28</v>
      </c>
      <c r="Q13" s="33">
        <f t="shared" si="4"/>
        <v>54</v>
      </c>
      <c r="R13" s="26">
        <v>14</v>
      </c>
      <c r="S13" s="26">
        <v>36</v>
      </c>
      <c r="T13" s="33">
        <f t="shared" si="5"/>
        <v>50</v>
      </c>
      <c r="U13" s="26">
        <v>17</v>
      </c>
      <c r="V13" s="26">
        <v>33</v>
      </c>
      <c r="W13" s="33">
        <f t="shared" si="6"/>
        <v>50</v>
      </c>
      <c r="X13" s="30"/>
      <c r="Y13" s="30"/>
      <c r="Z13" s="30"/>
      <c r="AA13" s="33">
        <f t="shared" si="7"/>
        <v>368</v>
      </c>
      <c r="AB13" s="26" t="s">
        <v>117</v>
      </c>
      <c r="AC13" s="28"/>
    </row>
    <row r="14" spans="1:29" ht="15.6" x14ac:dyDescent="0.3">
      <c r="A14" s="4">
        <v>4</v>
      </c>
      <c r="B14" s="27" t="s">
        <v>232</v>
      </c>
      <c r="C14" s="26">
        <v>41</v>
      </c>
      <c r="D14" s="26">
        <v>50</v>
      </c>
      <c r="E14" s="33">
        <f t="shared" si="0"/>
        <v>91</v>
      </c>
      <c r="F14" s="26">
        <v>49</v>
      </c>
      <c r="G14" s="26">
        <v>44</v>
      </c>
      <c r="H14" s="33">
        <f t="shared" si="1"/>
        <v>93</v>
      </c>
      <c r="I14" s="26">
        <v>38</v>
      </c>
      <c r="J14" s="26">
        <v>28</v>
      </c>
      <c r="K14" s="33">
        <f t="shared" si="2"/>
        <v>66</v>
      </c>
      <c r="L14" s="26">
        <v>48</v>
      </c>
      <c r="M14" s="26">
        <v>50</v>
      </c>
      <c r="N14" s="33">
        <f t="shared" si="3"/>
        <v>98</v>
      </c>
      <c r="O14" s="26">
        <v>47</v>
      </c>
      <c r="P14" s="26">
        <v>46</v>
      </c>
      <c r="Q14" s="33">
        <f t="shared" si="4"/>
        <v>93</v>
      </c>
      <c r="R14" s="26">
        <v>32</v>
      </c>
      <c r="S14" s="26">
        <v>49</v>
      </c>
      <c r="T14" s="33">
        <f t="shared" si="5"/>
        <v>81</v>
      </c>
      <c r="U14" s="26">
        <v>42</v>
      </c>
      <c r="V14" s="26">
        <v>25</v>
      </c>
      <c r="W14" s="33">
        <f t="shared" si="6"/>
        <v>67</v>
      </c>
      <c r="X14" s="30"/>
      <c r="Y14" s="30"/>
      <c r="Z14" s="30"/>
      <c r="AA14" s="33">
        <f t="shared" si="7"/>
        <v>589</v>
      </c>
      <c r="AB14" s="26" t="s">
        <v>117</v>
      </c>
      <c r="AC14" s="28"/>
    </row>
    <row r="15" spans="1:29" ht="15.6" x14ac:dyDescent="0.3">
      <c r="A15" s="4">
        <v>5</v>
      </c>
      <c r="B15" s="27" t="s">
        <v>233</v>
      </c>
      <c r="C15" s="26">
        <v>30</v>
      </c>
      <c r="D15" s="26">
        <v>43</v>
      </c>
      <c r="E15" s="33">
        <f t="shared" si="0"/>
        <v>73</v>
      </c>
      <c r="F15" s="26">
        <v>35</v>
      </c>
      <c r="G15" s="26">
        <v>37</v>
      </c>
      <c r="H15" s="33">
        <f t="shared" si="1"/>
        <v>72</v>
      </c>
      <c r="I15" s="26">
        <v>45</v>
      </c>
      <c r="J15" s="26">
        <v>35</v>
      </c>
      <c r="K15" s="33">
        <f t="shared" si="2"/>
        <v>80</v>
      </c>
      <c r="L15" s="26">
        <v>49</v>
      </c>
      <c r="M15" s="26">
        <v>48</v>
      </c>
      <c r="N15" s="33">
        <f t="shared" si="3"/>
        <v>97</v>
      </c>
      <c r="O15" s="26">
        <v>41</v>
      </c>
      <c r="P15" s="26">
        <v>27</v>
      </c>
      <c r="Q15" s="33">
        <f t="shared" si="4"/>
        <v>68</v>
      </c>
      <c r="R15" s="26">
        <v>30</v>
      </c>
      <c r="S15" s="26">
        <v>49</v>
      </c>
      <c r="T15" s="33">
        <f t="shared" si="5"/>
        <v>79</v>
      </c>
      <c r="U15" s="26">
        <v>36</v>
      </c>
      <c r="V15" s="26">
        <v>35</v>
      </c>
      <c r="W15" s="33">
        <f t="shared" si="6"/>
        <v>71</v>
      </c>
      <c r="X15" s="30"/>
      <c r="Y15" s="30"/>
      <c r="Z15" s="30"/>
      <c r="AA15" s="33">
        <f t="shared" si="7"/>
        <v>540</v>
      </c>
      <c r="AB15" s="26" t="s">
        <v>117</v>
      </c>
      <c r="AC15" s="28"/>
    </row>
    <row r="16" spans="1:29" ht="15.6" x14ac:dyDescent="0.3">
      <c r="A16" s="4">
        <v>6</v>
      </c>
      <c r="B16" s="27" t="s">
        <v>503</v>
      </c>
      <c r="C16" s="26">
        <v>35</v>
      </c>
      <c r="D16" s="26">
        <v>30</v>
      </c>
      <c r="E16" s="33">
        <f t="shared" si="0"/>
        <v>65</v>
      </c>
      <c r="F16" s="26">
        <v>34</v>
      </c>
      <c r="G16" s="26">
        <v>40</v>
      </c>
      <c r="H16" s="33">
        <f t="shared" si="1"/>
        <v>74</v>
      </c>
      <c r="I16" s="26">
        <v>29</v>
      </c>
      <c r="J16" s="26">
        <v>30</v>
      </c>
      <c r="K16" s="33">
        <f t="shared" si="2"/>
        <v>59</v>
      </c>
      <c r="L16" s="26">
        <v>45</v>
      </c>
      <c r="M16" s="26">
        <v>47</v>
      </c>
      <c r="N16" s="33">
        <f t="shared" si="3"/>
        <v>92</v>
      </c>
      <c r="O16" s="26">
        <v>32</v>
      </c>
      <c r="P16" s="26">
        <v>39</v>
      </c>
      <c r="Q16" s="33">
        <f t="shared" si="4"/>
        <v>71</v>
      </c>
      <c r="R16" s="26">
        <v>31</v>
      </c>
      <c r="S16" s="26">
        <v>40</v>
      </c>
      <c r="T16" s="33">
        <f t="shared" si="5"/>
        <v>71</v>
      </c>
      <c r="U16" s="26">
        <v>35</v>
      </c>
      <c r="V16" s="26">
        <v>30</v>
      </c>
      <c r="W16" s="33">
        <f t="shared" si="6"/>
        <v>65</v>
      </c>
      <c r="X16" s="30"/>
      <c r="Y16" s="30"/>
      <c r="Z16" s="30"/>
      <c r="AA16" s="33">
        <f t="shared" si="7"/>
        <v>497</v>
      </c>
      <c r="AB16" s="26" t="s">
        <v>117</v>
      </c>
      <c r="AC16" s="28"/>
    </row>
    <row r="17" spans="1:29" ht="15.6" x14ac:dyDescent="0.3">
      <c r="A17" s="4">
        <v>7</v>
      </c>
      <c r="B17" s="27" t="s">
        <v>504</v>
      </c>
      <c r="C17" s="26">
        <v>39</v>
      </c>
      <c r="D17" s="26">
        <v>25</v>
      </c>
      <c r="E17" s="33">
        <f t="shared" si="0"/>
        <v>64</v>
      </c>
      <c r="F17" s="26">
        <v>23</v>
      </c>
      <c r="G17" s="26">
        <v>49</v>
      </c>
      <c r="H17" s="33">
        <f t="shared" si="1"/>
        <v>72</v>
      </c>
      <c r="I17" s="26">
        <v>28</v>
      </c>
      <c r="J17" s="26">
        <v>22</v>
      </c>
      <c r="K17" s="33">
        <f t="shared" si="2"/>
        <v>50</v>
      </c>
      <c r="L17" s="26">
        <v>26</v>
      </c>
      <c r="M17" s="26">
        <v>28</v>
      </c>
      <c r="N17" s="33">
        <f t="shared" si="3"/>
        <v>54</v>
      </c>
      <c r="O17" s="26">
        <v>29</v>
      </c>
      <c r="P17" s="26">
        <v>28</v>
      </c>
      <c r="Q17" s="33">
        <f t="shared" si="4"/>
        <v>57</v>
      </c>
      <c r="R17" s="26">
        <v>13</v>
      </c>
      <c r="S17" s="26">
        <v>37</v>
      </c>
      <c r="T17" s="33">
        <f t="shared" si="5"/>
        <v>50</v>
      </c>
      <c r="U17" s="26">
        <v>14</v>
      </c>
      <c r="V17" s="26">
        <v>36</v>
      </c>
      <c r="W17" s="33">
        <f t="shared" si="6"/>
        <v>50</v>
      </c>
      <c r="X17" s="30"/>
      <c r="Y17" s="30"/>
      <c r="Z17" s="30"/>
      <c r="AA17" s="33">
        <f t="shared" si="7"/>
        <v>397</v>
      </c>
      <c r="AB17" s="26" t="s">
        <v>117</v>
      </c>
      <c r="AC17" s="28"/>
    </row>
    <row r="18" spans="1:29" ht="15.6" x14ac:dyDescent="0.3">
      <c r="A18" s="4">
        <v>8</v>
      </c>
      <c r="B18" s="27" t="s">
        <v>234</v>
      </c>
      <c r="C18" s="26">
        <v>28</v>
      </c>
      <c r="D18" s="26">
        <v>25</v>
      </c>
      <c r="E18" s="33">
        <f t="shared" si="0"/>
        <v>53</v>
      </c>
      <c r="F18" s="26">
        <v>23</v>
      </c>
      <c r="G18" s="26">
        <v>28</v>
      </c>
      <c r="H18" s="33">
        <f t="shared" si="1"/>
        <v>51</v>
      </c>
      <c r="I18" s="26">
        <v>27</v>
      </c>
      <c r="J18" s="26">
        <v>33</v>
      </c>
      <c r="K18" s="33">
        <f t="shared" si="2"/>
        <v>60</v>
      </c>
      <c r="L18" s="26">
        <v>25</v>
      </c>
      <c r="M18" s="26">
        <v>25</v>
      </c>
      <c r="N18" s="33">
        <f t="shared" si="3"/>
        <v>50</v>
      </c>
      <c r="O18" s="26">
        <v>31</v>
      </c>
      <c r="P18" s="26">
        <v>28</v>
      </c>
      <c r="Q18" s="33">
        <f t="shared" si="4"/>
        <v>59</v>
      </c>
      <c r="R18" s="26">
        <v>14</v>
      </c>
      <c r="S18" s="26">
        <v>36</v>
      </c>
      <c r="T18" s="33">
        <f t="shared" si="5"/>
        <v>50</v>
      </c>
      <c r="U18" s="26">
        <v>11</v>
      </c>
      <c r="V18" s="26">
        <v>39</v>
      </c>
      <c r="W18" s="33">
        <f t="shared" si="6"/>
        <v>50</v>
      </c>
      <c r="X18" s="30"/>
      <c r="Y18" s="30"/>
      <c r="Z18" s="30"/>
      <c r="AA18" s="33">
        <f t="shared" si="7"/>
        <v>373</v>
      </c>
      <c r="AB18" s="26" t="s">
        <v>117</v>
      </c>
      <c r="AC18" s="28"/>
    </row>
    <row r="19" spans="1:29" ht="15.6" x14ac:dyDescent="0.3">
      <c r="A19" s="4">
        <v>9</v>
      </c>
      <c r="B19" s="27" t="s">
        <v>235</v>
      </c>
      <c r="C19" s="26">
        <v>31</v>
      </c>
      <c r="D19" s="26">
        <v>25</v>
      </c>
      <c r="E19" s="33">
        <f t="shared" si="0"/>
        <v>56</v>
      </c>
      <c r="F19" s="26">
        <v>24</v>
      </c>
      <c r="G19" s="26">
        <v>29</v>
      </c>
      <c r="H19" s="33">
        <f t="shared" si="1"/>
        <v>53</v>
      </c>
      <c r="I19" s="26">
        <v>26</v>
      </c>
      <c r="J19" s="26">
        <v>29</v>
      </c>
      <c r="K19" s="33">
        <f t="shared" si="2"/>
        <v>55</v>
      </c>
      <c r="L19" s="26">
        <v>27</v>
      </c>
      <c r="M19" s="26">
        <v>29</v>
      </c>
      <c r="N19" s="33">
        <f t="shared" si="3"/>
        <v>56</v>
      </c>
      <c r="O19" s="26">
        <v>18</v>
      </c>
      <c r="P19" s="26">
        <v>32</v>
      </c>
      <c r="Q19" s="33">
        <f t="shared" si="4"/>
        <v>50</v>
      </c>
      <c r="R19" s="26">
        <v>31</v>
      </c>
      <c r="S19" s="26">
        <v>29</v>
      </c>
      <c r="T19" s="33">
        <f t="shared" si="5"/>
        <v>60</v>
      </c>
      <c r="U19" s="26">
        <v>12</v>
      </c>
      <c r="V19" s="26">
        <v>38</v>
      </c>
      <c r="W19" s="33">
        <f t="shared" si="6"/>
        <v>50</v>
      </c>
      <c r="X19" s="30"/>
      <c r="Y19" s="30"/>
      <c r="Z19" s="30"/>
      <c r="AA19" s="33">
        <f t="shared" si="7"/>
        <v>380</v>
      </c>
      <c r="AB19" s="26" t="s">
        <v>117</v>
      </c>
      <c r="AC19" s="28"/>
    </row>
    <row r="20" spans="1:29" ht="15.6" x14ac:dyDescent="0.3">
      <c r="A20" s="4">
        <v>10</v>
      </c>
      <c r="B20" s="27" t="s">
        <v>236</v>
      </c>
      <c r="C20" s="26">
        <v>25</v>
      </c>
      <c r="D20" s="26">
        <v>25</v>
      </c>
      <c r="E20" s="33">
        <f>SUM(C20:D20)</f>
        <v>50</v>
      </c>
      <c r="F20" s="26">
        <v>26</v>
      </c>
      <c r="G20" s="26">
        <v>28</v>
      </c>
      <c r="H20" s="33">
        <f t="shared" si="1"/>
        <v>54</v>
      </c>
      <c r="I20" s="26">
        <v>26</v>
      </c>
      <c r="J20" s="26">
        <v>27</v>
      </c>
      <c r="K20" s="33">
        <f t="shared" si="2"/>
        <v>53</v>
      </c>
      <c r="L20" s="26">
        <v>21</v>
      </c>
      <c r="M20" s="26">
        <v>29</v>
      </c>
      <c r="N20" s="33">
        <f t="shared" si="3"/>
        <v>50</v>
      </c>
      <c r="O20" s="26">
        <v>25</v>
      </c>
      <c r="P20" s="26">
        <v>30</v>
      </c>
      <c r="Q20" s="33">
        <f t="shared" si="4"/>
        <v>55</v>
      </c>
      <c r="R20" s="26">
        <v>12</v>
      </c>
      <c r="S20" s="26">
        <v>38</v>
      </c>
      <c r="T20" s="33">
        <f t="shared" si="5"/>
        <v>50</v>
      </c>
      <c r="U20" s="26">
        <v>16</v>
      </c>
      <c r="V20" s="26">
        <v>34</v>
      </c>
      <c r="W20" s="33">
        <f t="shared" si="6"/>
        <v>50</v>
      </c>
      <c r="X20" s="30"/>
      <c r="Y20" s="30"/>
      <c r="Z20" s="30"/>
      <c r="AA20" s="33">
        <f>SUM(W20,T20,Q20,N20,K20,H20,E20)</f>
        <v>362</v>
      </c>
      <c r="AB20" s="26" t="s">
        <v>117</v>
      </c>
      <c r="AC20" s="28"/>
    </row>
    <row r="21" spans="1:29" ht="15.6" x14ac:dyDescent="0.3">
      <c r="A21" s="4">
        <v>11</v>
      </c>
      <c r="B21" s="27" t="s">
        <v>441</v>
      </c>
      <c r="C21" s="26">
        <v>25</v>
      </c>
      <c r="D21" s="26">
        <v>25</v>
      </c>
      <c r="E21" s="33">
        <f>SUM(C21:D21)</f>
        <v>50</v>
      </c>
      <c r="F21" s="26">
        <v>24</v>
      </c>
      <c r="G21" s="26">
        <v>26</v>
      </c>
      <c r="H21" s="33">
        <f t="shared" si="1"/>
        <v>50</v>
      </c>
      <c r="I21" s="26">
        <v>26</v>
      </c>
      <c r="J21" s="26">
        <v>27</v>
      </c>
      <c r="K21" s="33">
        <f t="shared" si="2"/>
        <v>53</v>
      </c>
      <c r="L21" s="26">
        <v>34</v>
      </c>
      <c r="M21" s="26">
        <v>30</v>
      </c>
      <c r="N21" s="33">
        <f t="shared" si="3"/>
        <v>64</v>
      </c>
      <c r="O21" s="26">
        <v>42</v>
      </c>
      <c r="P21" s="26">
        <v>26</v>
      </c>
      <c r="Q21" s="33">
        <f t="shared" si="4"/>
        <v>68</v>
      </c>
      <c r="R21" s="26">
        <v>13</v>
      </c>
      <c r="S21" s="26">
        <v>40</v>
      </c>
      <c r="T21" s="33">
        <f t="shared" si="5"/>
        <v>53</v>
      </c>
      <c r="U21" s="26">
        <v>20</v>
      </c>
      <c r="V21" s="26">
        <v>30</v>
      </c>
      <c r="W21" s="33">
        <f t="shared" si="6"/>
        <v>50</v>
      </c>
      <c r="X21" s="30"/>
      <c r="Y21" s="30"/>
      <c r="Z21" s="30"/>
      <c r="AA21" s="33">
        <f>SUM(W21,T21,Q21,N21,K21,H21,E21)</f>
        <v>388</v>
      </c>
      <c r="AB21" s="26" t="s">
        <v>117</v>
      </c>
      <c r="AC21" s="28"/>
    </row>
    <row r="22" spans="1:29" ht="15.6" x14ac:dyDescent="0.3">
      <c r="A22" s="4">
        <v>12</v>
      </c>
      <c r="B22" s="27" t="s">
        <v>237</v>
      </c>
      <c r="C22" s="26">
        <v>25</v>
      </c>
      <c r="D22" s="26">
        <v>25</v>
      </c>
      <c r="E22" s="33">
        <f t="shared" ref="E22:E28" si="8">SUM(C22:D22)</f>
        <v>50</v>
      </c>
      <c r="F22" s="26">
        <v>24</v>
      </c>
      <c r="G22" s="26">
        <v>26</v>
      </c>
      <c r="H22" s="33">
        <f t="shared" si="1"/>
        <v>50</v>
      </c>
      <c r="I22" s="26">
        <v>26</v>
      </c>
      <c r="J22" s="26">
        <v>27</v>
      </c>
      <c r="K22" s="33">
        <f t="shared" si="2"/>
        <v>53</v>
      </c>
      <c r="L22" s="26">
        <v>22</v>
      </c>
      <c r="M22" s="26">
        <v>28</v>
      </c>
      <c r="N22" s="33">
        <f t="shared" si="3"/>
        <v>50</v>
      </c>
      <c r="O22" s="26">
        <v>34</v>
      </c>
      <c r="P22" s="26">
        <v>26</v>
      </c>
      <c r="Q22" s="33">
        <f t="shared" si="4"/>
        <v>60</v>
      </c>
      <c r="R22" s="26">
        <v>16</v>
      </c>
      <c r="S22" s="26">
        <v>34</v>
      </c>
      <c r="T22" s="33">
        <f t="shared" si="5"/>
        <v>50</v>
      </c>
      <c r="U22" s="26">
        <v>17</v>
      </c>
      <c r="V22" s="26">
        <v>33</v>
      </c>
      <c r="W22" s="33">
        <f t="shared" si="6"/>
        <v>50</v>
      </c>
      <c r="X22" s="30"/>
      <c r="Y22" s="30"/>
      <c r="Z22" s="30"/>
      <c r="AA22" s="33">
        <f t="shared" ref="AA22:AA27" si="9">SUM(W22,T22,Q22,N22,K22,H22,E22)</f>
        <v>363</v>
      </c>
      <c r="AB22" s="26" t="s">
        <v>117</v>
      </c>
      <c r="AC22" s="28"/>
    </row>
    <row r="23" spans="1:29" ht="15.6" x14ac:dyDescent="0.3">
      <c r="A23" s="4">
        <v>13</v>
      </c>
      <c r="B23" s="27" t="s">
        <v>238</v>
      </c>
      <c r="C23" s="26">
        <v>25</v>
      </c>
      <c r="D23" s="26">
        <v>25</v>
      </c>
      <c r="E23" s="33">
        <f t="shared" si="8"/>
        <v>50</v>
      </c>
      <c r="F23" s="26">
        <v>29</v>
      </c>
      <c r="G23" s="26">
        <v>29</v>
      </c>
      <c r="H23" s="33">
        <f t="shared" si="1"/>
        <v>58</v>
      </c>
      <c r="I23" s="26">
        <v>25</v>
      </c>
      <c r="J23" s="26">
        <v>29</v>
      </c>
      <c r="K23" s="33">
        <f t="shared" si="2"/>
        <v>54</v>
      </c>
      <c r="L23" s="26">
        <v>32</v>
      </c>
      <c r="M23" s="26">
        <v>36</v>
      </c>
      <c r="N23" s="33">
        <f t="shared" si="3"/>
        <v>68</v>
      </c>
      <c r="O23" s="26">
        <v>46</v>
      </c>
      <c r="P23" s="26">
        <v>25</v>
      </c>
      <c r="Q23" s="33">
        <f t="shared" si="4"/>
        <v>71</v>
      </c>
      <c r="R23" s="26">
        <v>14</v>
      </c>
      <c r="S23" s="26">
        <v>36</v>
      </c>
      <c r="T23" s="33">
        <f t="shared" si="5"/>
        <v>50</v>
      </c>
      <c r="U23" s="26">
        <v>17</v>
      </c>
      <c r="V23" s="26">
        <v>33</v>
      </c>
      <c r="W23" s="33">
        <f t="shared" si="6"/>
        <v>50</v>
      </c>
      <c r="X23" s="30"/>
      <c r="Y23" s="30"/>
      <c r="Z23" s="30"/>
      <c r="AA23" s="33">
        <f t="shared" si="9"/>
        <v>401</v>
      </c>
      <c r="AB23" s="26" t="s">
        <v>117</v>
      </c>
      <c r="AC23" s="28"/>
    </row>
    <row r="24" spans="1:29" ht="15.6" x14ac:dyDescent="0.3">
      <c r="A24" s="4">
        <v>14</v>
      </c>
      <c r="B24" s="27" t="s">
        <v>239</v>
      </c>
      <c r="C24" s="26">
        <v>25</v>
      </c>
      <c r="D24" s="26">
        <v>25</v>
      </c>
      <c r="E24" s="33">
        <f t="shared" si="8"/>
        <v>50</v>
      </c>
      <c r="F24" s="26">
        <v>25</v>
      </c>
      <c r="G24" s="26">
        <v>28</v>
      </c>
      <c r="H24" s="33">
        <f t="shared" si="1"/>
        <v>53</v>
      </c>
      <c r="I24" s="26">
        <v>28</v>
      </c>
      <c r="J24" s="26">
        <v>30</v>
      </c>
      <c r="K24" s="33">
        <f t="shared" si="2"/>
        <v>58</v>
      </c>
      <c r="L24" s="26">
        <v>25</v>
      </c>
      <c r="M24" s="26">
        <v>30</v>
      </c>
      <c r="N24" s="33">
        <f t="shared" si="3"/>
        <v>55</v>
      </c>
      <c r="O24" s="26">
        <v>40</v>
      </c>
      <c r="P24" s="26">
        <v>26</v>
      </c>
      <c r="Q24" s="33">
        <f t="shared" si="4"/>
        <v>66</v>
      </c>
      <c r="R24" s="26">
        <v>25</v>
      </c>
      <c r="S24" s="26">
        <v>25</v>
      </c>
      <c r="T24" s="33">
        <f t="shared" si="5"/>
        <v>50</v>
      </c>
      <c r="U24" s="26">
        <v>20</v>
      </c>
      <c r="V24" s="26">
        <v>30</v>
      </c>
      <c r="W24" s="33">
        <f t="shared" si="6"/>
        <v>50</v>
      </c>
      <c r="X24" s="30"/>
      <c r="Y24" s="30"/>
      <c r="Z24" s="30"/>
      <c r="AA24" s="33">
        <f t="shared" si="9"/>
        <v>382</v>
      </c>
      <c r="AB24" s="26" t="s">
        <v>117</v>
      </c>
      <c r="AC24" s="28"/>
    </row>
    <row r="25" spans="1:29" ht="15.6" x14ac:dyDescent="0.3">
      <c r="A25" s="4">
        <v>15</v>
      </c>
      <c r="B25" s="27" t="s">
        <v>240</v>
      </c>
      <c r="C25" s="26">
        <v>25</v>
      </c>
      <c r="D25" s="26">
        <v>25</v>
      </c>
      <c r="E25" s="33">
        <f t="shared" si="8"/>
        <v>50</v>
      </c>
      <c r="F25" s="26">
        <v>22</v>
      </c>
      <c r="G25" s="26">
        <v>31</v>
      </c>
      <c r="H25" s="33">
        <f t="shared" si="1"/>
        <v>53</v>
      </c>
      <c r="I25" s="26">
        <v>25</v>
      </c>
      <c r="J25" s="26">
        <v>29</v>
      </c>
      <c r="K25" s="33">
        <f t="shared" si="2"/>
        <v>54</v>
      </c>
      <c r="L25" s="26">
        <v>21</v>
      </c>
      <c r="M25" s="26">
        <v>29</v>
      </c>
      <c r="N25" s="33">
        <f t="shared" si="3"/>
        <v>50</v>
      </c>
      <c r="O25" s="26">
        <v>29</v>
      </c>
      <c r="P25" s="26">
        <v>25</v>
      </c>
      <c r="Q25" s="33">
        <f t="shared" si="4"/>
        <v>54</v>
      </c>
      <c r="R25" s="26">
        <v>22</v>
      </c>
      <c r="S25" s="26">
        <v>28</v>
      </c>
      <c r="T25" s="33">
        <f t="shared" si="5"/>
        <v>50</v>
      </c>
      <c r="U25" s="26">
        <v>23</v>
      </c>
      <c r="V25" s="26">
        <v>27</v>
      </c>
      <c r="W25" s="33">
        <f t="shared" si="6"/>
        <v>50</v>
      </c>
      <c r="X25" s="30"/>
      <c r="Y25" s="30"/>
      <c r="Z25" s="30"/>
      <c r="AA25" s="33">
        <f t="shared" si="9"/>
        <v>361</v>
      </c>
      <c r="AB25" s="26" t="s">
        <v>117</v>
      </c>
      <c r="AC25" s="28"/>
    </row>
    <row r="26" spans="1:29" ht="15.6" x14ac:dyDescent="0.3">
      <c r="A26" s="4">
        <v>16</v>
      </c>
      <c r="B26" s="27" t="s">
        <v>241</v>
      </c>
      <c r="C26" s="26">
        <v>25</v>
      </c>
      <c r="D26" s="26">
        <v>25</v>
      </c>
      <c r="E26" s="33">
        <f t="shared" si="8"/>
        <v>50</v>
      </c>
      <c r="F26" s="26">
        <v>25</v>
      </c>
      <c r="G26" s="26">
        <v>29</v>
      </c>
      <c r="H26" s="33">
        <f t="shared" si="1"/>
        <v>54</v>
      </c>
      <c r="I26" s="26">
        <v>28</v>
      </c>
      <c r="J26" s="26">
        <v>28</v>
      </c>
      <c r="K26" s="33">
        <f t="shared" si="2"/>
        <v>56</v>
      </c>
      <c r="L26" s="26">
        <v>29</v>
      </c>
      <c r="M26" s="26">
        <v>22</v>
      </c>
      <c r="N26" s="33">
        <f t="shared" si="3"/>
        <v>51</v>
      </c>
      <c r="O26" s="26">
        <v>30</v>
      </c>
      <c r="P26" s="26">
        <v>20</v>
      </c>
      <c r="Q26" s="33">
        <f t="shared" si="4"/>
        <v>50</v>
      </c>
      <c r="R26" s="26">
        <v>30</v>
      </c>
      <c r="S26" s="26">
        <v>20</v>
      </c>
      <c r="T26" s="33">
        <f t="shared" si="5"/>
        <v>50</v>
      </c>
      <c r="U26" s="26">
        <v>19</v>
      </c>
      <c r="V26" s="26">
        <v>31</v>
      </c>
      <c r="W26" s="33">
        <f t="shared" si="6"/>
        <v>50</v>
      </c>
      <c r="X26" s="30"/>
      <c r="Y26" s="30"/>
      <c r="Z26" s="30"/>
      <c r="AA26" s="33">
        <f t="shared" si="9"/>
        <v>361</v>
      </c>
      <c r="AB26" s="26" t="s">
        <v>117</v>
      </c>
      <c r="AC26" s="28"/>
    </row>
    <row r="27" spans="1:29" ht="15.6" x14ac:dyDescent="0.3">
      <c r="A27" s="4">
        <v>17</v>
      </c>
      <c r="B27" s="27" t="s">
        <v>242</v>
      </c>
      <c r="C27" s="26">
        <v>34</v>
      </c>
      <c r="D27" s="26">
        <v>27</v>
      </c>
      <c r="E27" s="33">
        <f t="shared" si="8"/>
        <v>61</v>
      </c>
      <c r="F27" s="26">
        <v>40</v>
      </c>
      <c r="G27" s="26">
        <v>33</v>
      </c>
      <c r="H27" s="33">
        <f t="shared" si="1"/>
        <v>73</v>
      </c>
      <c r="I27" s="26">
        <v>25</v>
      </c>
      <c r="J27" s="26">
        <v>36</v>
      </c>
      <c r="K27" s="33">
        <f t="shared" si="2"/>
        <v>61</v>
      </c>
      <c r="L27" s="26">
        <v>30</v>
      </c>
      <c r="M27" s="26">
        <v>32</v>
      </c>
      <c r="N27" s="33">
        <f t="shared" si="3"/>
        <v>62</v>
      </c>
      <c r="O27" s="26">
        <v>45</v>
      </c>
      <c r="P27" s="26">
        <v>29</v>
      </c>
      <c r="Q27" s="33">
        <f t="shared" si="4"/>
        <v>74</v>
      </c>
      <c r="R27" s="26">
        <v>32</v>
      </c>
      <c r="S27" s="26">
        <v>29</v>
      </c>
      <c r="T27" s="33">
        <f t="shared" si="5"/>
        <v>61</v>
      </c>
      <c r="U27" s="26">
        <v>25</v>
      </c>
      <c r="V27" s="26">
        <v>30</v>
      </c>
      <c r="W27" s="33">
        <f t="shared" si="6"/>
        <v>55</v>
      </c>
      <c r="X27" s="30"/>
      <c r="Y27" s="30"/>
      <c r="Z27" s="30"/>
      <c r="AA27" s="33">
        <f t="shared" si="9"/>
        <v>447</v>
      </c>
      <c r="AB27" s="26" t="s">
        <v>117</v>
      </c>
      <c r="AC27" s="28"/>
    </row>
    <row r="28" spans="1:29" ht="15.6" x14ac:dyDescent="0.3">
      <c r="A28" s="4">
        <v>18</v>
      </c>
      <c r="B28" s="27" t="s">
        <v>243</v>
      </c>
      <c r="C28" s="26">
        <v>25</v>
      </c>
      <c r="D28" s="26">
        <v>25</v>
      </c>
      <c r="E28" s="33">
        <f t="shared" si="8"/>
        <v>50</v>
      </c>
      <c r="F28" s="26">
        <v>30</v>
      </c>
      <c r="G28" s="26">
        <v>28</v>
      </c>
      <c r="H28" s="33">
        <f t="shared" si="1"/>
        <v>58</v>
      </c>
      <c r="I28" s="26">
        <v>33</v>
      </c>
      <c r="J28" s="26">
        <v>29</v>
      </c>
      <c r="K28" s="33">
        <f t="shared" si="2"/>
        <v>62</v>
      </c>
      <c r="L28" s="26">
        <v>25</v>
      </c>
      <c r="M28" s="26">
        <v>25</v>
      </c>
      <c r="N28" s="33">
        <f t="shared" si="3"/>
        <v>50</v>
      </c>
      <c r="O28" s="26">
        <v>25</v>
      </c>
      <c r="P28" s="26">
        <v>27</v>
      </c>
      <c r="Q28" s="33">
        <f t="shared" si="4"/>
        <v>52</v>
      </c>
      <c r="R28" s="26">
        <v>26</v>
      </c>
      <c r="S28" s="26">
        <v>24</v>
      </c>
      <c r="T28" s="33">
        <f t="shared" si="5"/>
        <v>50</v>
      </c>
      <c r="U28" s="26">
        <v>25</v>
      </c>
      <c r="V28" s="26">
        <v>25</v>
      </c>
      <c r="W28" s="33">
        <f t="shared" si="6"/>
        <v>50</v>
      </c>
      <c r="X28" s="30"/>
      <c r="Y28" s="30"/>
      <c r="Z28" s="30"/>
      <c r="AA28" s="33">
        <f>SUM(W28,T28,Q28,N28,K28,H28,E28)</f>
        <v>372</v>
      </c>
      <c r="AB28" s="26" t="s">
        <v>117</v>
      </c>
      <c r="AC28" s="28"/>
    </row>
    <row r="29" spans="1:29" ht="15.6" x14ac:dyDescent="0.3">
      <c r="A29" s="4">
        <v>19</v>
      </c>
      <c r="B29" s="27" t="s">
        <v>244</v>
      </c>
      <c r="C29" s="26">
        <v>25</v>
      </c>
      <c r="D29" s="26">
        <v>25</v>
      </c>
      <c r="E29" s="33">
        <f>SUM(C29:D29)</f>
        <v>50</v>
      </c>
      <c r="F29" s="26">
        <v>27</v>
      </c>
      <c r="G29" s="26">
        <v>27</v>
      </c>
      <c r="H29" s="33">
        <f>SUM(F29:G29)</f>
        <v>54</v>
      </c>
      <c r="I29" s="26">
        <v>30</v>
      </c>
      <c r="J29" s="26">
        <v>31</v>
      </c>
      <c r="K29" s="33">
        <f>SUM(I29:J29)</f>
        <v>61</v>
      </c>
      <c r="L29" s="26">
        <v>22</v>
      </c>
      <c r="M29" s="26">
        <v>28</v>
      </c>
      <c r="N29" s="33">
        <f>SUM(L29:M29)</f>
        <v>50</v>
      </c>
      <c r="O29" s="26">
        <v>21</v>
      </c>
      <c r="P29" s="26">
        <v>29</v>
      </c>
      <c r="Q29" s="33">
        <f>SUM(O29:P29)</f>
        <v>50</v>
      </c>
      <c r="R29" s="26">
        <v>15</v>
      </c>
      <c r="S29" s="26">
        <v>35</v>
      </c>
      <c r="T29" s="33">
        <f>SUM(R29:S29)</f>
        <v>50</v>
      </c>
      <c r="U29" s="26">
        <v>14</v>
      </c>
      <c r="V29" s="26">
        <v>36</v>
      </c>
      <c r="W29" s="33">
        <f>SUM(U29:V29)</f>
        <v>50</v>
      </c>
      <c r="X29" s="30"/>
      <c r="Y29" s="30"/>
      <c r="Z29" s="30"/>
      <c r="AA29" s="33">
        <f>SUM(W29,T29,Q29,N29,K29,H29,E29)</f>
        <v>365</v>
      </c>
      <c r="AB29" s="26" t="s">
        <v>117</v>
      </c>
      <c r="AC29" s="28"/>
    </row>
    <row r="30" spans="1:29" ht="15.6" x14ac:dyDescent="0.3">
      <c r="A30" s="4">
        <v>20</v>
      </c>
      <c r="B30" s="27" t="s">
        <v>245</v>
      </c>
      <c r="C30" s="26">
        <v>21</v>
      </c>
      <c r="D30" s="26">
        <v>29</v>
      </c>
      <c r="E30" s="33">
        <f>SUM(C30:D30)</f>
        <v>50</v>
      </c>
      <c r="F30" s="26">
        <v>25</v>
      </c>
      <c r="G30" s="26">
        <v>27</v>
      </c>
      <c r="H30" s="33">
        <f>SUM(F30:G30)</f>
        <v>52</v>
      </c>
      <c r="I30" s="26">
        <v>25</v>
      </c>
      <c r="J30" s="26">
        <v>28</v>
      </c>
      <c r="K30" s="33">
        <f>SUM(I30:J30)</f>
        <v>53</v>
      </c>
      <c r="L30" s="26">
        <v>28</v>
      </c>
      <c r="M30" s="26">
        <v>25</v>
      </c>
      <c r="N30" s="33">
        <f>SUM(L30:M30)</f>
        <v>53</v>
      </c>
      <c r="O30" s="26">
        <v>24</v>
      </c>
      <c r="P30" s="26">
        <v>27</v>
      </c>
      <c r="Q30" s="33">
        <f>SUM(O30:P30)</f>
        <v>51</v>
      </c>
      <c r="R30" s="26">
        <v>12</v>
      </c>
      <c r="S30" s="26">
        <v>38</v>
      </c>
      <c r="T30" s="33">
        <f>SUM(R30:S30)</f>
        <v>50</v>
      </c>
      <c r="U30" s="26">
        <v>18</v>
      </c>
      <c r="V30" s="26">
        <v>32</v>
      </c>
      <c r="W30" s="33">
        <f>SUM(U30:V30)</f>
        <v>50</v>
      </c>
      <c r="X30" s="30"/>
      <c r="Y30" s="30"/>
      <c r="Z30" s="30"/>
      <c r="AA30" s="33">
        <v>359</v>
      </c>
      <c r="AB30" s="26" t="s">
        <v>117</v>
      </c>
      <c r="AC30" s="28"/>
    </row>
    <row r="31" spans="1:29" ht="15.6" x14ac:dyDescent="0.3">
      <c r="A31" s="3" t="s">
        <v>246</v>
      </c>
      <c r="B31" s="11"/>
      <c r="C31" s="8"/>
      <c r="D31" s="8"/>
      <c r="E31" s="8"/>
      <c r="F31" s="22"/>
      <c r="G31" s="22" t="s">
        <v>468</v>
      </c>
      <c r="H31" s="22"/>
      <c r="I31" s="22"/>
      <c r="J31" s="22"/>
      <c r="K31" s="22"/>
      <c r="L31" s="22"/>
      <c r="M31" s="22"/>
      <c r="N31" s="22"/>
      <c r="O31" s="22" t="s">
        <v>82</v>
      </c>
      <c r="P31" s="22"/>
      <c r="Q31" s="22"/>
      <c r="R31" s="22"/>
      <c r="S31" s="22"/>
      <c r="T31" s="22"/>
      <c r="U31" s="22" t="s">
        <v>83</v>
      </c>
      <c r="V31" s="22"/>
      <c r="W31" s="22"/>
      <c r="X31" s="22"/>
      <c r="Y31" s="22"/>
      <c r="Z31" s="22"/>
      <c r="AA31" s="7"/>
      <c r="AB31" s="5" t="s">
        <v>84</v>
      </c>
      <c r="AC31" s="5"/>
    </row>
    <row r="32" spans="1:29" x14ac:dyDescent="0.25">
      <c r="A32" s="3" t="s">
        <v>89</v>
      </c>
      <c r="B32" s="3"/>
      <c r="C32" s="3"/>
      <c r="D32" s="3"/>
      <c r="E32" s="3"/>
      <c r="F32" s="22" t="s">
        <v>90</v>
      </c>
      <c r="G32" s="22"/>
      <c r="H32" s="22"/>
      <c r="I32" s="22"/>
      <c r="J32" s="22"/>
      <c r="K32" s="22"/>
      <c r="L32" s="22"/>
      <c r="M32" s="22"/>
      <c r="N32" s="22" t="s">
        <v>462</v>
      </c>
      <c r="O32" s="22"/>
      <c r="P32" s="22"/>
      <c r="Q32" s="22"/>
      <c r="R32" s="22"/>
      <c r="S32" s="22"/>
      <c r="T32" s="22" t="s">
        <v>463</v>
      </c>
      <c r="U32" s="22"/>
      <c r="V32" s="22"/>
      <c r="W32" s="22"/>
      <c r="X32" s="22"/>
      <c r="Y32" s="22"/>
      <c r="Z32" s="3"/>
      <c r="AA32" s="3"/>
      <c r="AB32" s="3" t="s">
        <v>85</v>
      </c>
      <c r="AC32" s="3"/>
    </row>
    <row r="33" spans="1:29" x14ac:dyDescent="0.25">
      <c r="A33" s="3" t="s">
        <v>466</v>
      </c>
      <c r="B33" s="3"/>
      <c r="C33" s="3"/>
      <c r="D33" s="3"/>
      <c r="E33" s="3"/>
      <c r="F33" s="22" t="s">
        <v>91</v>
      </c>
      <c r="G33" s="22"/>
      <c r="H33" s="22"/>
      <c r="I33" s="22"/>
      <c r="J33" s="22"/>
      <c r="K33" s="22"/>
      <c r="L33" s="22"/>
      <c r="M33" s="22"/>
      <c r="N33" s="22" t="s">
        <v>94</v>
      </c>
      <c r="O33" s="22"/>
      <c r="P33" s="22"/>
      <c r="Q33" s="22"/>
      <c r="R33" s="22"/>
      <c r="S33" s="22"/>
      <c r="T33" s="22" t="s">
        <v>97</v>
      </c>
      <c r="U33" s="22"/>
      <c r="V33" s="22"/>
      <c r="W33" s="22"/>
      <c r="X33" s="22"/>
      <c r="Y33" s="22"/>
      <c r="Z33" s="3"/>
      <c r="AA33" s="3"/>
      <c r="AB33" s="3" t="s">
        <v>99</v>
      </c>
      <c r="AC33" s="3"/>
    </row>
    <row r="34" spans="1:29" x14ac:dyDescent="0.25">
      <c r="A34" s="3" t="s">
        <v>89</v>
      </c>
      <c r="B34" s="3"/>
      <c r="C34" s="3"/>
      <c r="D34" s="3"/>
      <c r="E34" s="3"/>
      <c r="F34" s="22" t="s">
        <v>92</v>
      </c>
      <c r="G34" s="22"/>
      <c r="H34" s="22"/>
      <c r="I34" s="22"/>
      <c r="J34" s="22"/>
      <c r="K34" s="22"/>
      <c r="L34" s="22"/>
      <c r="M34" s="22"/>
      <c r="N34" s="22" t="s">
        <v>95</v>
      </c>
      <c r="O34" s="22"/>
      <c r="P34" s="22"/>
      <c r="Q34" s="22"/>
      <c r="R34" s="22"/>
      <c r="S34" s="22"/>
      <c r="T34" s="22" t="s">
        <v>98</v>
      </c>
      <c r="U34" s="22"/>
      <c r="V34" s="22"/>
      <c r="W34" s="22"/>
      <c r="X34" s="22"/>
      <c r="Y34" s="22"/>
      <c r="Z34" s="3"/>
    </row>
    <row r="37" spans="1:29" ht="15.6" x14ac:dyDescent="0.3">
      <c r="A37" s="6"/>
      <c r="B37" s="15" t="s">
        <v>494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 t="s">
        <v>467</v>
      </c>
      <c r="N37" s="6"/>
      <c r="O37" s="6"/>
      <c r="P37" s="6"/>
      <c r="Q37" s="6"/>
      <c r="R37" s="6"/>
      <c r="S37" s="6"/>
      <c r="T37" s="6"/>
      <c r="U37" s="6"/>
      <c r="V37" s="6"/>
      <c r="W37" s="5"/>
      <c r="X37" s="6"/>
      <c r="Y37" s="6"/>
      <c r="Z37" s="6"/>
      <c r="AA37" s="5" t="s">
        <v>456</v>
      </c>
      <c r="AB37" s="6"/>
    </row>
    <row r="38" spans="1:29" ht="15.6" x14ac:dyDescent="0.3">
      <c r="A38" s="6"/>
      <c r="B38" s="15" t="s">
        <v>81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5"/>
      <c r="X38" s="6"/>
      <c r="Y38" s="6"/>
      <c r="Z38" s="6"/>
      <c r="AA38" s="5" t="s">
        <v>100</v>
      </c>
      <c r="AB38" s="5"/>
    </row>
    <row r="39" spans="1:29" ht="15.6" x14ac:dyDescent="0.3">
      <c r="A39" s="6"/>
      <c r="B39" s="15" t="s">
        <v>459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5"/>
      <c r="X39" s="6"/>
      <c r="Y39" s="6"/>
      <c r="Z39" s="6"/>
      <c r="AA39" s="5" t="s">
        <v>247</v>
      </c>
      <c r="AB39" s="5"/>
    </row>
    <row r="40" spans="1:29" ht="15.6" x14ac:dyDescent="0.3">
      <c r="A40" s="6"/>
      <c r="B40" s="15" t="s">
        <v>460</v>
      </c>
      <c r="C40" s="6"/>
      <c r="D40" s="6"/>
      <c r="E40" s="6"/>
      <c r="F40" s="6"/>
      <c r="G40" s="6"/>
      <c r="H40" s="6"/>
      <c r="I40" s="6"/>
      <c r="J40" s="6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5"/>
      <c r="X40" s="6"/>
      <c r="Y40" s="6"/>
      <c r="Z40" s="6"/>
      <c r="AA40" s="5" t="s">
        <v>103</v>
      </c>
      <c r="AB40" s="5"/>
    </row>
    <row r="41" spans="1:29" ht="15.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5"/>
      <c r="X41" s="6"/>
      <c r="Y41" s="6"/>
      <c r="Z41" s="6"/>
      <c r="AA41" s="5" t="s">
        <v>157</v>
      </c>
      <c r="AB41" s="5"/>
    </row>
    <row r="42" spans="1:29" ht="15.6" x14ac:dyDescent="0.3">
      <c r="C42" s="5" t="s">
        <v>482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5"/>
      <c r="X42" s="6"/>
      <c r="Y42" s="6"/>
      <c r="Z42" s="6"/>
      <c r="AA42" s="5"/>
      <c r="AB42" s="5"/>
      <c r="AC42" s="5"/>
    </row>
    <row r="43" spans="1:29" ht="15.6" x14ac:dyDescent="0.3">
      <c r="A43" s="57" t="s">
        <v>0</v>
      </c>
      <c r="B43" s="66" t="s">
        <v>469</v>
      </c>
      <c r="C43" s="60" t="s">
        <v>458</v>
      </c>
      <c r="D43" s="61"/>
      <c r="E43" s="62"/>
      <c r="F43" s="60" t="s">
        <v>1</v>
      </c>
      <c r="G43" s="61"/>
      <c r="H43" s="62"/>
      <c r="I43" s="60" t="s">
        <v>2</v>
      </c>
      <c r="J43" s="61"/>
      <c r="K43" s="62"/>
      <c r="L43" s="60" t="s">
        <v>8</v>
      </c>
      <c r="M43" s="61"/>
      <c r="N43" s="62"/>
      <c r="O43" s="60" t="s">
        <v>3</v>
      </c>
      <c r="P43" s="61"/>
      <c r="Q43" s="62"/>
      <c r="R43" s="31"/>
      <c r="S43" s="31" t="s">
        <v>4</v>
      </c>
      <c r="T43" s="31"/>
      <c r="U43" s="60" t="s">
        <v>5</v>
      </c>
      <c r="V43" s="61"/>
      <c r="W43" s="62"/>
      <c r="X43" s="57" t="s">
        <v>16</v>
      </c>
      <c r="Y43" s="57" t="s">
        <v>17</v>
      </c>
      <c r="Z43" s="57" t="s">
        <v>18</v>
      </c>
      <c r="AA43" s="57" t="s">
        <v>19</v>
      </c>
      <c r="AB43" s="57" t="s">
        <v>20</v>
      </c>
      <c r="AC43" s="57" t="s">
        <v>21</v>
      </c>
    </row>
    <row r="44" spans="1:29" ht="55.2" x14ac:dyDescent="0.25">
      <c r="A44" s="58"/>
      <c r="B44" s="67"/>
      <c r="C44" s="32" t="s">
        <v>6</v>
      </c>
      <c r="D44" s="32" t="s">
        <v>461</v>
      </c>
      <c r="E44" s="32" t="s">
        <v>7</v>
      </c>
      <c r="F44" s="32" t="s">
        <v>6</v>
      </c>
      <c r="G44" s="32" t="s">
        <v>461</v>
      </c>
      <c r="H44" s="32" t="s">
        <v>7</v>
      </c>
      <c r="I44" s="32" t="s">
        <v>6</v>
      </c>
      <c r="J44" s="32" t="s">
        <v>461</v>
      </c>
      <c r="K44" s="32" t="s">
        <v>7</v>
      </c>
      <c r="L44" s="32" t="s">
        <v>6</v>
      </c>
      <c r="M44" s="32" t="s">
        <v>461</v>
      </c>
      <c r="N44" s="32" t="s">
        <v>7</v>
      </c>
      <c r="O44" s="32" t="s">
        <v>6</v>
      </c>
      <c r="P44" s="32" t="s">
        <v>461</v>
      </c>
      <c r="Q44" s="32" t="s">
        <v>7</v>
      </c>
      <c r="R44" s="32" t="s">
        <v>6</v>
      </c>
      <c r="S44" s="32" t="s">
        <v>461</v>
      </c>
      <c r="T44" s="32" t="s">
        <v>7</v>
      </c>
      <c r="U44" s="32" t="s">
        <v>6</v>
      </c>
      <c r="V44" s="32" t="s">
        <v>461</v>
      </c>
      <c r="W44" s="32" t="s">
        <v>7</v>
      </c>
      <c r="X44" s="58"/>
      <c r="Y44" s="58"/>
      <c r="Z44" s="58"/>
      <c r="AA44" s="58"/>
      <c r="AB44" s="58"/>
      <c r="AC44" s="58"/>
    </row>
    <row r="45" spans="1:29" ht="15.6" x14ac:dyDescent="0.3">
      <c r="A45" s="59"/>
      <c r="B45" s="68"/>
      <c r="C45" s="33">
        <v>50</v>
      </c>
      <c r="D45" s="33">
        <v>50</v>
      </c>
      <c r="E45" s="33">
        <v>100</v>
      </c>
      <c r="F45" s="33">
        <v>50</v>
      </c>
      <c r="G45" s="33">
        <v>50</v>
      </c>
      <c r="H45" s="33">
        <v>100</v>
      </c>
      <c r="I45" s="33">
        <v>50</v>
      </c>
      <c r="J45" s="33">
        <v>50</v>
      </c>
      <c r="K45" s="33">
        <v>100</v>
      </c>
      <c r="L45" s="33">
        <v>50</v>
      </c>
      <c r="M45" s="33">
        <v>50</v>
      </c>
      <c r="N45" s="33">
        <v>100</v>
      </c>
      <c r="O45" s="33">
        <v>50</v>
      </c>
      <c r="P45" s="33">
        <v>50</v>
      </c>
      <c r="Q45" s="33">
        <v>100</v>
      </c>
      <c r="R45" s="33">
        <v>50</v>
      </c>
      <c r="S45" s="33">
        <v>50</v>
      </c>
      <c r="T45" s="33">
        <v>100</v>
      </c>
      <c r="U45" s="33">
        <v>50</v>
      </c>
      <c r="V45" s="33">
        <v>50</v>
      </c>
      <c r="W45" s="33">
        <v>100</v>
      </c>
      <c r="X45" s="59"/>
      <c r="Y45" s="59"/>
      <c r="Z45" s="59"/>
      <c r="AA45" s="59"/>
      <c r="AB45" s="59"/>
      <c r="AC45" s="59"/>
    </row>
    <row r="46" spans="1:29" ht="15.6" x14ac:dyDescent="0.3">
      <c r="A46" s="26">
        <v>21</v>
      </c>
      <c r="B46" s="29" t="s">
        <v>248</v>
      </c>
      <c r="C46" s="26">
        <v>25</v>
      </c>
      <c r="D46" s="26">
        <v>25</v>
      </c>
      <c r="E46" s="33">
        <f t="shared" ref="E46:E65" si="10">SUM(C46:D46)</f>
        <v>50</v>
      </c>
      <c r="F46" s="26">
        <v>27</v>
      </c>
      <c r="G46" s="26">
        <v>25</v>
      </c>
      <c r="H46" s="33">
        <f t="shared" ref="H46:H65" si="11">SUM(F46:G46)</f>
        <v>52</v>
      </c>
      <c r="I46" s="26">
        <v>27</v>
      </c>
      <c r="J46" s="26">
        <v>26</v>
      </c>
      <c r="K46" s="33">
        <f t="shared" ref="K46:K65" si="12">SUM(I46:J46)</f>
        <v>53</v>
      </c>
      <c r="L46" s="26">
        <v>23</v>
      </c>
      <c r="M46" s="26">
        <v>27</v>
      </c>
      <c r="N46" s="33">
        <f t="shared" ref="N46:N65" si="13">SUM(L46:M46)</f>
        <v>50</v>
      </c>
      <c r="O46" s="26">
        <v>24</v>
      </c>
      <c r="P46" s="26">
        <v>31</v>
      </c>
      <c r="Q46" s="33">
        <f t="shared" ref="Q46:Q65" si="14">SUM(O46:P46)</f>
        <v>55</v>
      </c>
      <c r="R46" s="26">
        <v>15</v>
      </c>
      <c r="S46" s="26">
        <v>35</v>
      </c>
      <c r="T46" s="33">
        <f t="shared" ref="T46:T65" si="15">SUM(R46:S46)</f>
        <v>50</v>
      </c>
      <c r="U46" s="26">
        <v>13</v>
      </c>
      <c r="V46" s="26">
        <v>37</v>
      </c>
      <c r="W46" s="33">
        <f t="shared" ref="W46:W65" si="16">SUM(U46:V46)</f>
        <v>50</v>
      </c>
      <c r="X46" s="30"/>
      <c r="Y46" s="30"/>
      <c r="Z46" s="30"/>
      <c r="AA46" s="33">
        <f t="shared" ref="AA46:AA65" si="17">SUM(W46,T46,Q46,N46,K46,H46,E46)</f>
        <v>360</v>
      </c>
      <c r="AB46" s="26" t="s">
        <v>117</v>
      </c>
      <c r="AC46" s="28"/>
    </row>
    <row r="47" spans="1:29" ht="15.6" x14ac:dyDescent="0.3">
      <c r="A47" s="26">
        <v>22</v>
      </c>
      <c r="B47" s="29" t="s">
        <v>249</v>
      </c>
      <c r="C47" s="26">
        <v>25</v>
      </c>
      <c r="D47" s="26">
        <v>25</v>
      </c>
      <c r="E47" s="33">
        <f t="shared" si="10"/>
        <v>50</v>
      </c>
      <c r="F47" s="26">
        <v>28</v>
      </c>
      <c r="G47" s="26">
        <v>27</v>
      </c>
      <c r="H47" s="33">
        <f t="shared" si="11"/>
        <v>55</v>
      </c>
      <c r="I47" s="26">
        <v>26</v>
      </c>
      <c r="J47" s="26">
        <v>30</v>
      </c>
      <c r="K47" s="33">
        <f t="shared" si="12"/>
        <v>56</v>
      </c>
      <c r="L47" s="26">
        <v>21</v>
      </c>
      <c r="M47" s="26">
        <v>29</v>
      </c>
      <c r="N47" s="33">
        <f t="shared" si="13"/>
        <v>50</v>
      </c>
      <c r="O47" s="26">
        <v>28</v>
      </c>
      <c r="P47" s="26">
        <v>31</v>
      </c>
      <c r="Q47" s="33">
        <f t="shared" si="14"/>
        <v>59</v>
      </c>
      <c r="R47" s="26">
        <v>12</v>
      </c>
      <c r="S47" s="26">
        <v>38</v>
      </c>
      <c r="T47" s="33">
        <f t="shared" si="15"/>
        <v>50</v>
      </c>
      <c r="U47" s="26">
        <v>19</v>
      </c>
      <c r="V47" s="26">
        <v>31</v>
      </c>
      <c r="W47" s="33">
        <f t="shared" si="16"/>
        <v>50</v>
      </c>
      <c r="X47" s="30"/>
      <c r="Y47" s="30"/>
      <c r="Z47" s="30"/>
      <c r="AA47" s="33">
        <f t="shared" si="17"/>
        <v>370</v>
      </c>
      <c r="AB47" s="26" t="s">
        <v>117</v>
      </c>
      <c r="AC47" s="28"/>
    </row>
    <row r="48" spans="1:29" ht="15.6" x14ac:dyDescent="0.3">
      <c r="A48" s="26">
        <v>23</v>
      </c>
      <c r="B48" s="29" t="s">
        <v>250</v>
      </c>
      <c r="C48" s="26">
        <v>27</v>
      </c>
      <c r="D48" s="26">
        <v>25</v>
      </c>
      <c r="E48" s="33">
        <f t="shared" si="10"/>
        <v>52</v>
      </c>
      <c r="F48" s="26">
        <v>22</v>
      </c>
      <c r="G48" s="26">
        <v>29</v>
      </c>
      <c r="H48" s="33">
        <f t="shared" si="11"/>
        <v>51</v>
      </c>
      <c r="I48" s="26">
        <v>26</v>
      </c>
      <c r="J48" s="26">
        <v>31</v>
      </c>
      <c r="K48" s="33">
        <f t="shared" si="12"/>
        <v>57</v>
      </c>
      <c r="L48" s="26">
        <v>37</v>
      </c>
      <c r="M48" s="26">
        <v>28</v>
      </c>
      <c r="N48" s="33">
        <f t="shared" si="13"/>
        <v>65</v>
      </c>
      <c r="O48" s="26">
        <v>28</v>
      </c>
      <c r="P48" s="26">
        <v>31</v>
      </c>
      <c r="Q48" s="33">
        <f t="shared" si="14"/>
        <v>59</v>
      </c>
      <c r="R48" s="26">
        <v>13</v>
      </c>
      <c r="S48" s="26">
        <v>37</v>
      </c>
      <c r="T48" s="33">
        <f t="shared" si="15"/>
        <v>50</v>
      </c>
      <c r="U48" s="26">
        <v>15</v>
      </c>
      <c r="V48" s="26">
        <v>35</v>
      </c>
      <c r="W48" s="33">
        <f t="shared" si="16"/>
        <v>50</v>
      </c>
      <c r="X48" s="30"/>
      <c r="Y48" s="30"/>
      <c r="Z48" s="30"/>
      <c r="AA48" s="33">
        <f t="shared" si="17"/>
        <v>384</v>
      </c>
      <c r="AB48" s="26" t="s">
        <v>117</v>
      </c>
      <c r="AC48" s="28"/>
    </row>
    <row r="49" spans="1:29" ht="15.6" x14ac:dyDescent="0.3">
      <c r="A49" s="26">
        <v>24</v>
      </c>
      <c r="B49" s="29" t="s">
        <v>251</v>
      </c>
      <c r="C49" s="26">
        <v>32</v>
      </c>
      <c r="D49" s="26">
        <v>28</v>
      </c>
      <c r="E49" s="33">
        <f t="shared" si="10"/>
        <v>60</v>
      </c>
      <c r="F49" s="26">
        <v>31</v>
      </c>
      <c r="G49" s="26">
        <v>32</v>
      </c>
      <c r="H49" s="33">
        <f t="shared" si="11"/>
        <v>63</v>
      </c>
      <c r="I49" s="26">
        <v>31</v>
      </c>
      <c r="J49" s="26">
        <v>31</v>
      </c>
      <c r="K49" s="33">
        <f t="shared" si="12"/>
        <v>62</v>
      </c>
      <c r="L49" s="26">
        <v>43</v>
      </c>
      <c r="M49" s="26">
        <v>30</v>
      </c>
      <c r="N49" s="33">
        <f t="shared" si="13"/>
        <v>73</v>
      </c>
      <c r="O49" s="26">
        <v>40</v>
      </c>
      <c r="P49" s="26">
        <v>49</v>
      </c>
      <c r="Q49" s="33">
        <f t="shared" si="14"/>
        <v>89</v>
      </c>
      <c r="R49" s="26">
        <v>34</v>
      </c>
      <c r="S49" s="26">
        <v>34</v>
      </c>
      <c r="T49" s="33">
        <f t="shared" si="15"/>
        <v>68</v>
      </c>
      <c r="U49" s="26">
        <v>40</v>
      </c>
      <c r="V49" s="26">
        <v>34</v>
      </c>
      <c r="W49" s="33">
        <f t="shared" si="16"/>
        <v>74</v>
      </c>
      <c r="X49" s="30"/>
      <c r="Y49" s="30"/>
      <c r="Z49" s="30"/>
      <c r="AA49" s="33">
        <f t="shared" si="17"/>
        <v>489</v>
      </c>
      <c r="AB49" s="26" t="s">
        <v>117</v>
      </c>
      <c r="AC49" s="28"/>
    </row>
    <row r="50" spans="1:29" ht="15.6" x14ac:dyDescent="0.3">
      <c r="A50" s="26">
        <v>25</v>
      </c>
      <c r="B50" s="29" t="s">
        <v>252</v>
      </c>
      <c r="C50" s="26">
        <v>26</v>
      </c>
      <c r="D50" s="26">
        <v>24</v>
      </c>
      <c r="E50" s="33">
        <f t="shared" si="10"/>
        <v>50</v>
      </c>
      <c r="F50" s="26">
        <v>18</v>
      </c>
      <c r="G50" s="26">
        <v>32</v>
      </c>
      <c r="H50" s="33">
        <f t="shared" si="11"/>
        <v>50</v>
      </c>
      <c r="I50" s="26">
        <v>25</v>
      </c>
      <c r="J50" s="26">
        <v>27</v>
      </c>
      <c r="K50" s="33">
        <f t="shared" si="12"/>
        <v>52</v>
      </c>
      <c r="L50" s="26">
        <v>24</v>
      </c>
      <c r="M50" s="26">
        <v>26</v>
      </c>
      <c r="N50" s="33">
        <f t="shared" si="13"/>
        <v>50</v>
      </c>
      <c r="O50" s="26">
        <v>19</v>
      </c>
      <c r="P50" s="26">
        <v>31</v>
      </c>
      <c r="Q50" s="33">
        <f t="shared" si="14"/>
        <v>50</v>
      </c>
      <c r="R50" s="26">
        <v>17</v>
      </c>
      <c r="S50" s="26">
        <v>33</v>
      </c>
      <c r="T50" s="33">
        <f t="shared" si="15"/>
        <v>50</v>
      </c>
      <c r="U50" s="26">
        <v>13</v>
      </c>
      <c r="V50" s="26">
        <v>37</v>
      </c>
      <c r="W50" s="33">
        <f t="shared" si="16"/>
        <v>50</v>
      </c>
      <c r="X50" s="30"/>
      <c r="Y50" s="30"/>
      <c r="Z50" s="30"/>
      <c r="AA50" s="33">
        <f t="shared" si="17"/>
        <v>352</v>
      </c>
      <c r="AB50" s="26" t="s">
        <v>117</v>
      </c>
      <c r="AC50" s="28"/>
    </row>
    <row r="51" spans="1:29" ht="15.6" x14ac:dyDescent="0.3">
      <c r="A51" s="26">
        <v>26</v>
      </c>
      <c r="B51" s="29" t="s">
        <v>505</v>
      </c>
      <c r="C51" s="26">
        <v>29</v>
      </c>
      <c r="D51" s="26">
        <v>25</v>
      </c>
      <c r="E51" s="33">
        <f t="shared" si="10"/>
        <v>54</v>
      </c>
      <c r="F51" s="26">
        <v>33</v>
      </c>
      <c r="G51" s="26">
        <v>27</v>
      </c>
      <c r="H51" s="33">
        <f t="shared" si="11"/>
        <v>60</v>
      </c>
      <c r="I51" s="26">
        <v>12</v>
      </c>
      <c r="J51" s="26">
        <v>38</v>
      </c>
      <c r="K51" s="33">
        <f t="shared" si="12"/>
        <v>50</v>
      </c>
      <c r="L51" s="26">
        <v>25</v>
      </c>
      <c r="M51" s="26">
        <v>25</v>
      </c>
      <c r="N51" s="33">
        <f t="shared" si="13"/>
        <v>50</v>
      </c>
      <c r="O51" s="26">
        <v>41</v>
      </c>
      <c r="P51" s="26">
        <v>19</v>
      </c>
      <c r="Q51" s="33">
        <f t="shared" si="14"/>
        <v>60</v>
      </c>
      <c r="R51" s="26">
        <v>17</v>
      </c>
      <c r="S51" s="26">
        <v>33</v>
      </c>
      <c r="T51" s="33">
        <f t="shared" si="15"/>
        <v>50</v>
      </c>
      <c r="U51" s="26">
        <v>20</v>
      </c>
      <c r="V51" s="26">
        <v>30</v>
      </c>
      <c r="W51" s="33">
        <f t="shared" si="16"/>
        <v>50</v>
      </c>
      <c r="X51" s="30"/>
      <c r="Y51" s="30"/>
      <c r="Z51" s="30"/>
      <c r="AA51" s="33">
        <f t="shared" si="17"/>
        <v>374</v>
      </c>
      <c r="AB51" s="26" t="s">
        <v>117</v>
      </c>
      <c r="AC51" s="28"/>
    </row>
    <row r="52" spans="1:29" ht="15.6" x14ac:dyDescent="0.3">
      <c r="A52" s="26">
        <v>27</v>
      </c>
      <c r="B52" s="29" t="s">
        <v>253</v>
      </c>
      <c r="C52" s="26">
        <v>25</v>
      </c>
      <c r="D52" s="26">
        <v>25</v>
      </c>
      <c r="E52" s="33">
        <f t="shared" si="10"/>
        <v>50</v>
      </c>
      <c r="F52" s="26">
        <v>25</v>
      </c>
      <c r="G52" s="26">
        <v>28</v>
      </c>
      <c r="H52" s="33">
        <f t="shared" si="11"/>
        <v>53</v>
      </c>
      <c r="I52" s="26">
        <v>26</v>
      </c>
      <c r="J52" s="26">
        <v>33</v>
      </c>
      <c r="K52" s="33">
        <f t="shared" si="12"/>
        <v>59</v>
      </c>
      <c r="L52" s="26">
        <v>27</v>
      </c>
      <c r="M52" s="26">
        <v>25</v>
      </c>
      <c r="N52" s="33">
        <f t="shared" si="13"/>
        <v>52</v>
      </c>
      <c r="O52" s="26">
        <v>25</v>
      </c>
      <c r="P52" s="26">
        <v>30</v>
      </c>
      <c r="Q52" s="33">
        <f t="shared" si="14"/>
        <v>55</v>
      </c>
      <c r="R52" s="26">
        <v>32</v>
      </c>
      <c r="S52" s="26">
        <v>19</v>
      </c>
      <c r="T52" s="33">
        <f t="shared" si="15"/>
        <v>51</v>
      </c>
      <c r="U52" s="26">
        <v>27</v>
      </c>
      <c r="V52" s="26">
        <v>23</v>
      </c>
      <c r="W52" s="33">
        <f t="shared" si="16"/>
        <v>50</v>
      </c>
      <c r="X52" s="30"/>
      <c r="Y52" s="30"/>
      <c r="Z52" s="30"/>
      <c r="AA52" s="33">
        <f t="shared" si="17"/>
        <v>370</v>
      </c>
      <c r="AB52" s="26" t="s">
        <v>117</v>
      </c>
      <c r="AC52" s="28"/>
    </row>
    <row r="53" spans="1:29" ht="15.6" x14ac:dyDescent="0.3">
      <c r="A53" s="26">
        <v>28</v>
      </c>
      <c r="B53" s="29" t="s">
        <v>254</v>
      </c>
      <c r="C53" s="26">
        <v>25</v>
      </c>
      <c r="D53" s="26">
        <v>25</v>
      </c>
      <c r="E53" s="33">
        <f t="shared" si="10"/>
        <v>50</v>
      </c>
      <c r="F53" s="26">
        <v>26</v>
      </c>
      <c r="G53" s="26">
        <v>29</v>
      </c>
      <c r="H53" s="33">
        <f t="shared" si="11"/>
        <v>55</v>
      </c>
      <c r="I53" s="26">
        <v>28</v>
      </c>
      <c r="J53" s="26">
        <v>30</v>
      </c>
      <c r="K53" s="33">
        <f t="shared" si="12"/>
        <v>58</v>
      </c>
      <c r="L53" s="26">
        <v>29</v>
      </c>
      <c r="M53" s="26">
        <v>27</v>
      </c>
      <c r="N53" s="33">
        <f t="shared" si="13"/>
        <v>56</v>
      </c>
      <c r="O53" s="26">
        <v>29</v>
      </c>
      <c r="P53" s="26">
        <v>31</v>
      </c>
      <c r="Q53" s="33">
        <f t="shared" si="14"/>
        <v>60</v>
      </c>
      <c r="R53" s="26">
        <v>14</v>
      </c>
      <c r="S53" s="26">
        <v>36</v>
      </c>
      <c r="T53" s="33">
        <f t="shared" si="15"/>
        <v>50</v>
      </c>
      <c r="U53" s="26">
        <v>19</v>
      </c>
      <c r="V53" s="26">
        <v>31</v>
      </c>
      <c r="W53" s="33">
        <f t="shared" si="16"/>
        <v>50</v>
      </c>
      <c r="X53" s="30"/>
      <c r="Y53" s="30"/>
      <c r="Z53" s="30"/>
      <c r="AA53" s="33">
        <f t="shared" si="17"/>
        <v>379</v>
      </c>
      <c r="AB53" s="26" t="s">
        <v>117</v>
      </c>
      <c r="AC53" s="28"/>
    </row>
    <row r="54" spans="1:29" ht="15.6" x14ac:dyDescent="0.3">
      <c r="A54" s="26">
        <v>29</v>
      </c>
      <c r="B54" s="29" t="s">
        <v>255</v>
      </c>
      <c r="C54" s="26">
        <v>21</v>
      </c>
      <c r="D54" s="26">
        <v>29</v>
      </c>
      <c r="E54" s="33">
        <f t="shared" si="10"/>
        <v>50</v>
      </c>
      <c r="F54" s="26">
        <v>20</v>
      </c>
      <c r="G54" s="26">
        <v>30</v>
      </c>
      <c r="H54" s="33">
        <f t="shared" si="11"/>
        <v>50</v>
      </c>
      <c r="I54" s="26">
        <v>26</v>
      </c>
      <c r="J54" s="26">
        <v>29</v>
      </c>
      <c r="K54" s="33">
        <f t="shared" si="12"/>
        <v>55</v>
      </c>
      <c r="L54" s="26">
        <v>22</v>
      </c>
      <c r="M54" s="26">
        <v>28</v>
      </c>
      <c r="N54" s="33">
        <f t="shared" si="13"/>
        <v>50</v>
      </c>
      <c r="O54" s="26">
        <v>25</v>
      </c>
      <c r="P54" s="26">
        <v>29</v>
      </c>
      <c r="Q54" s="33">
        <f t="shared" si="14"/>
        <v>54</v>
      </c>
      <c r="R54" s="26">
        <v>13</v>
      </c>
      <c r="S54" s="26">
        <v>37</v>
      </c>
      <c r="T54" s="33">
        <f t="shared" si="15"/>
        <v>50</v>
      </c>
      <c r="U54" s="26">
        <v>14</v>
      </c>
      <c r="V54" s="26">
        <v>36</v>
      </c>
      <c r="W54" s="33">
        <f t="shared" si="16"/>
        <v>50</v>
      </c>
      <c r="X54" s="30"/>
      <c r="Y54" s="30"/>
      <c r="Z54" s="30"/>
      <c r="AA54" s="33">
        <f t="shared" si="17"/>
        <v>359</v>
      </c>
      <c r="AB54" s="26" t="s">
        <v>117</v>
      </c>
      <c r="AC54" s="28"/>
    </row>
    <row r="55" spans="1:29" ht="15.6" x14ac:dyDescent="0.3">
      <c r="A55" s="26">
        <v>30</v>
      </c>
      <c r="B55" s="29" t="s">
        <v>256</v>
      </c>
      <c r="C55" s="26">
        <v>25</v>
      </c>
      <c r="D55" s="26">
        <v>25</v>
      </c>
      <c r="E55" s="33">
        <f t="shared" si="10"/>
        <v>50</v>
      </c>
      <c r="F55" s="26">
        <v>25</v>
      </c>
      <c r="G55" s="26">
        <v>29</v>
      </c>
      <c r="H55" s="33">
        <f t="shared" si="11"/>
        <v>54</v>
      </c>
      <c r="I55" s="26">
        <v>27</v>
      </c>
      <c r="J55" s="26">
        <v>41</v>
      </c>
      <c r="K55" s="33">
        <f t="shared" si="12"/>
        <v>68</v>
      </c>
      <c r="L55" s="26">
        <v>25</v>
      </c>
      <c r="M55" s="26">
        <v>30</v>
      </c>
      <c r="N55" s="33">
        <f t="shared" si="13"/>
        <v>55</v>
      </c>
      <c r="O55" s="26">
        <v>33</v>
      </c>
      <c r="P55" s="26">
        <v>27</v>
      </c>
      <c r="Q55" s="33">
        <f t="shared" si="14"/>
        <v>60</v>
      </c>
      <c r="R55" s="26">
        <v>31</v>
      </c>
      <c r="S55" s="26">
        <v>25</v>
      </c>
      <c r="T55" s="33">
        <f t="shared" si="15"/>
        <v>56</v>
      </c>
      <c r="U55" s="26">
        <v>25</v>
      </c>
      <c r="V55" s="26">
        <v>25</v>
      </c>
      <c r="W55" s="33">
        <f t="shared" si="16"/>
        <v>50</v>
      </c>
      <c r="X55" s="30"/>
      <c r="Y55" s="30"/>
      <c r="Z55" s="30"/>
      <c r="AA55" s="33">
        <f t="shared" si="17"/>
        <v>393</v>
      </c>
      <c r="AB55" s="26" t="s">
        <v>117</v>
      </c>
      <c r="AC55" s="28"/>
    </row>
    <row r="56" spans="1:29" ht="15.6" x14ac:dyDescent="0.3">
      <c r="A56" s="26">
        <v>31</v>
      </c>
      <c r="B56" s="29" t="s">
        <v>257</v>
      </c>
      <c r="C56" s="26">
        <v>20</v>
      </c>
      <c r="D56" s="26">
        <v>30</v>
      </c>
      <c r="E56" s="33">
        <f t="shared" si="10"/>
        <v>50</v>
      </c>
      <c r="F56" s="26">
        <v>25</v>
      </c>
      <c r="G56" s="26">
        <v>28</v>
      </c>
      <c r="H56" s="33">
        <f t="shared" si="11"/>
        <v>53</v>
      </c>
      <c r="I56" s="26">
        <v>26</v>
      </c>
      <c r="J56" s="26">
        <v>28</v>
      </c>
      <c r="K56" s="33">
        <f t="shared" si="12"/>
        <v>54</v>
      </c>
      <c r="L56" s="26">
        <v>25</v>
      </c>
      <c r="M56" s="26">
        <v>25</v>
      </c>
      <c r="N56" s="33">
        <f t="shared" si="13"/>
        <v>50</v>
      </c>
      <c r="O56" s="26">
        <v>30</v>
      </c>
      <c r="P56" s="26">
        <v>31</v>
      </c>
      <c r="Q56" s="33">
        <f t="shared" si="14"/>
        <v>61</v>
      </c>
      <c r="R56" s="26">
        <v>11</v>
      </c>
      <c r="S56" s="26">
        <v>39</v>
      </c>
      <c r="T56" s="33">
        <f t="shared" si="15"/>
        <v>50</v>
      </c>
      <c r="U56" s="26">
        <v>14</v>
      </c>
      <c r="V56" s="26">
        <v>36</v>
      </c>
      <c r="W56" s="33">
        <f t="shared" si="16"/>
        <v>50</v>
      </c>
      <c r="X56" s="30"/>
      <c r="Y56" s="30"/>
      <c r="Z56" s="30"/>
      <c r="AA56" s="33">
        <f t="shared" si="17"/>
        <v>368</v>
      </c>
      <c r="AB56" s="26" t="s">
        <v>117</v>
      </c>
      <c r="AC56" s="28"/>
    </row>
    <row r="57" spans="1:29" ht="15.6" x14ac:dyDescent="0.3">
      <c r="A57" s="26">
        <v>32</v>
      </c>
      <c r="B57" s="29" t="s">
        <v>449</v>
      </c>
      <c r="C57" s="26">
        <v>33</v>
      </c>
      <c r="D57" s="26">
        <v>45</v>
      </c>
      <c r="E57" s="33">
        <f t="shared" si="10"/>
        <v>78</v>
      </c>
      <c r="F57" s="26">
        <v>39</v>
      </c>
      <c r="G57" s="26">
        <v>41</v>
      </c>
      <c r="H57" s="33">
        <f t="shared" si="11"/>
        <v>80</v>
      </c>
      <c r="I57" s="26">
        <v>26</v>
      </c>
      <c r="J57" s="26">
        <v>47</v>
      </c>
      <c r="K57" s="33">
        <f t="shared" si="12"/>
        <v>73</v>
      </c>
      <c r="L57" s="26">
        <v>40</v>
      </c>
      <c r="M57" s="26">
        <v>40</v>
      </c>
      <c r="N57" s="33">
        <f t="shared" si="13"/>
        <v>80</v>
      </c>
      <c r="O57" s="26">
        <v>35</v>
      </c>
      <c r="P57" s="26">
        <v>30</v>
      </c>
      <c r="Q57" s="33">
        <f t="shared" si="14"/>
        <v>65</v>
      </c>
      <c r="R57" s="26">
        <v>40</v>
      </c>
      <c r="S57" s="26">
        <v>38</v>
      </c>
      <c r="T57" s="33">
        <f t="shared" si="15"/>
        <v>78</v>
      </c>
      <c r="U57" s="26">
        <v>38</v>
      </c>
      <c r="V57" s="26">
        <v>25</v>
      </c>
      <c r="W57" s="33">
        <f t="shared" si="16"/>
        <v>63</v>
      </c>
      <c r="X57" s="30"/>
      <c r="Y57" s="30"/>
      <c r="Z57" s="30"/>
      <c r="AA57" s="33">
        <f t="shared" si="17"/>
        <v>517</v>
      </c>
      <c r="AB57" s="26" t="s">
        <v>117</v>
      </c>
      <c r="AC57" s="28"/>
    </row>
    <row r="58" spans="1:29" ht="15.6" x14ac:dyDescent="0.3">
      <c r="A58" s="26">
        <v>33</v>
      </c>
      <c r="B58" s="29" t="s">
        <v>258</v>
      </c>
      <c r="C58" s="26">
        <v>50</v>
      </c>
      <c r="D58" s="26">
        <v>50</v>
      </c>
      <c r="E58" s="33">
        <f t="shared" si="10"/>
        <v>100</v>
      </c>
      <c r="F58" s="26">
        <v>49</v>
      </c>
      <c r="G58" s="26">
        <v>48</v>
      </c>
      <c r="H58" s="33">
        <f t="shared" si="11"/>
        <v>97</v>
      </c>
      <c r="I58" s="26">
        <v>31</v>
      </c>
      <c r="J58" s="26">
        <v>32</v>
      </c>
      <c r="K58" s="33">
        <f t="shared" si="12"/>
        <v>63</v>
      </c>
      <c r="L58" s="26">
        <v>46</v>
      </c>
      <c r="M58" s="26">
        <v>31</v>
      </c>
      <c r="N58" s="33">
        <f t="shared" si="13"/>
        <v>77</v>
      </c>
      <c r="O58" s="26">
        <v>34</v>
      </c>
      <c r="P58" s="26">
        <v>44</v>
      </c>
      <c r="Q58" s="33">
        <f t="shared" si="14"/>
        <v>78</v>
      </c>
      <c r="R58" s="26">
        <v>34</v>
      </c>
      <c r="S58" s="26">
        <v>39</v>
      </c>
      <c r="T58" s="33">
        <f t="shared" si="15"/>
        <v>73</v>
      </c>
      <c r="U58" s="26">
        <v>37</v>
      </c>
      <c r="V58" s="26">
        <v>39</v>
      </c>
      <c r="W58" s="33">
        <f t="shared" si="16"/>
        <v>76</v>
      </c>
      <c r="X58" s="30"/>
      <c r="Y58" s="30"/>
      <c r="Z58" s="30"/>
      <c r="AA58" s="33">
        <f t="shared" si="17"/>
        <v>564</v>
      </c>
      <c r="AB58" s="26" t="s">
        <v>117</v>
      </c>
      <c r="AC58" s="28"/>
    </row>
    <row r="59" spans="1:29" ht="15.6" x14ac:dyDescent="0.3">
      <c r="A59" s="26">
        <v>34</v>
      </c>
      <c r="B59" s="29" t="s">
        <v>506</v>
      </c>
      <c r="C59" s="26">
        <v>27</v>
      </c>
      <c r="D59" s="26">
        <v>25</v>
      </c>
      <c r="E59" s="33">
        <f t="shared" si="10"/>
        <v>52</v>
      </c>
      <c r="F59" s="26">
        <v>28</v>
      </c>
      <c r="G59" s="26">
        <v>28</v>
      </c>
      <c r="H59" s="33">
        <f t="shared" si="11"/>
        <v>56</v>
      </c>
      <c r="I59" s="26">
        <v>28</v>
      </c>
      <c r="J59" s="26">
        <v>29</v>
      </c>
      <c r="K59" s="33">
        <f t="shared" si="12"/>
        <v>57</v>
      </c>
      <c r="L59" s="26">
        <v>28</v>
      </c>
      <c r="M59" s="26">
        <v>35</v>
      </c>
      <c r="N59" s="33">
        <f t="shared" si="13"/>
        <v>63</v>
      </c>
      <c r="O59" s="26">
        <v>30</v>
      </c>
      <c r="P59" s="26">
        <v>26</v>
      </c>
      <c r="Q59" s="33">
        <f t="shared" si="14"/>
        <v>56</v>
      </c>
      <c r="R59" s="26">
        <v>29</v>
      </c>
      <c r="S59" s="26">
        <v>33</v>
      </c>
      <c r="T59" s="33">
        <f t="shared" si="15"/>
        <v>62</v>
      </c>
      <c r="U59" s="26">
        <v>25</v>
      </c>
      <c r="V59" s="26">
        <v>25</v>
      </c>
      <c r="W59" s="33">
        <f t="shared" si="16"/>
        <v>50</v>
      </c>
      <c r="X59" s="30"/>
      <c r="Y59" s="30"/>
      <c r="Z59" s="30"/>
      <c r="AA59" s="33">
        <f t="shared" si="17"/>
        <v>396</v>
      </c>
      <c r="AB59" s="26" t="s">
        <v>117</v>
      </c>
      <c r="AC59" s="28"/>
    </row>
    <row r="60" spans="1:29" ht="15.6" x14ac:dyDescent="0.3">
      <c r="A60" s="26">
        <v>35</v>
      </c>
      <c r="B60" s="29" t="s">
        <v>259</v>
      </c>
      <c r="C60" s="26">
        <v>25</v>
      </c>
      <c r="D60" s="26">
        <v>25</v>
      </c>
      <c r="E60" s="33">
        <f t="shared" si="10"/>
        <v>50</v>
      </c>
      <c r="F60" s="26">
        <v>26</v>
      </c>
      <c r="G60" s="26">
        <v>28</v>
      </c>
      <c r="H60" s="33">
        <f t="shared" si="11"/>
        <v>54</v>
      </c>
      <c r="I60" s="26">
        <v>25</v>
      </c>
      <c r="J60" s="26">
        <v>31</v>
      </c>
      <c r="K60" s="33">
        <f t="shared" si="12"/>
        <v>56</v>
      </c>
      <c r="L60" s="26">
        <v>22</v>
      </c>
      <c r="M60" s="26">
        <v>28</v>
      </c>
      <c r="N60" s="33">
        <f t="shared" si="13"/>
        <v>50</v>
      </c>
      <c r="O60" s="26">
        <v>23</v>
      </c>
      <c r="P60" s="26">
        <v>32</v>
      </c>
      <c r="Q60" s="33">
        <f t="shared" si="14"/>
        <v>55</v>
      </c>
      <c r="R60" s="26">
        <v>13</v>
      </c>
      <c r="S60" s="26">
        <v>37</v>
      </c>
      <c r="T60" s="33">
        <f t="shared" si="15"/>
        <v>50</v>
      </c>
      <c r="U60" s="26">
        <v>13</v>
      </c>
      <c r="V60" s="26">
        <v>37</v>
      </c>
      <c r="W60" s="33">
        <f t="shared" si="16"/>
        <v>50</v>
      </c>
      <c r="X60" s="30"/>
      <c r="Y60" s="30"/>
      <c r="Z60" s="30"/>
      <c r="AA60" s="33">
        <f t="shared" si="17"/>
        <v>365</v>
      </c>
      <c r="AB60" s="26" t="s">
        <v>117</v>
      </c>
      <c r="AC60" s="28"/>
    </row>
    <row r="61" spans="1:29" ht="15.6" x14ac:dyDescent="0.3">
      <c r="A61" s="26">
        <v>36</v>
      </c>
      <c r="B61" s="29" t="s">
        <v>260</v>
      </c>
      <c r="C61" s="26">
        <v>20</v>
      </c>
      <c r="D61" s="26">
        <v>30</v>
      </c>
      <c r="E61" s="33">
        <f t="shared" si="10"/>
        <v>50</v>
      </c>
      <c r="F61" s="26">
        <v>18</v>
      </c>
      <c r="G61" s="26">
        <v>32</v>
      </c>
      <c r="H61" s="33">
        <f t="shared" si="11"/>
        <v>50</v>
      </c>
      <c r="I61" s="26">
        <v>29</v>
      </c>
      <c r="J61" s="26">
        <v>37</v>
      </c>
      <c r="K61" s="33">
        <f t="shared" si="12"/>
        <v>66</v>
      </c>
      <c r="L61" s="26">
        <v>25</v>
      </c>
      <c r="M61" s="26">
        <v>30</v>
      </c>
      <c r="N61" s="33">
        <f t="shared" si="13"/>
        <v>55</v>
      </c>
      <c r="O61" s="26">
        <v>42</v>
      </c>
      <c r="P61" s="26">
        <v>30</v>
      </c>
      <c r="Q61" s="33">
        <f t="shared" si="14"/>
        <v>72</v>
      </c>
      <c r="R61" s="26">
        <v>15</v>
      </c>
      <c r="S61" s="26">
        <v>36</v>
      </c>
      <c r="T61" s="33">
        <f t="shared" si="15"/>
        <v>51</v>
      </c>
      <c r="U61" s="26">
        <v>25</v>
      </c>
      <c r="V61" s="26">
        <v>25</v>
      </c>
      <c r="W61" s="33">
        <f t="shared" si="16"/>
        <v>50</v>
      </c>
      <c r="X61" s="30"/>
      <c r="Y61" s="30"/>
      <c r="Z61" s="30"/>
      <c r="AA61" s="33">
        <f t="shared" si="17"/>
        <v>394</v>
      </c>
      <c r="AB61" s="26" t="s">
        <v>117</v>
      </c>
      <c r="AC61" s="28"/>
    </row>
    <row r="62" spans="1:29" ht="15.6" x14ac:dyDescent="0.3">
      <c r="A62" s="26">
        <v>37</v>
      </c>
      <c r="B62" s="29" t="s">
        <v>261</v>
      </c>
      <c r="C62" s="26">
        <v>25</v>
      </c>
      <c r="D62" s="26">
        <v>25</v>
      </c>
      <c r="E62" s="33">
        <f t="shared" si="10"/>
        <v>50</v>
      </c>
      <c r="F62" s="26">
        <v>26</v>
      </c>
      <c r="G62" s="26">
        <v>24</v>
      </c>
      <c r="H62" s="33">
        <f t="shared" si="11"/>
        <v>50</v>
      </c>
      <c r="I62" s="26">
        <v>27</v>
      </c>
      <c r="J62" s="26">
        <v>23</v>
      </c>
      <c r="K62" s="33">
        <f t="shared" si="12"/>
        <v>50</v>
      </c>
      <c r="L62" s="26">
        <v>25</v>
      </c>
      <c r="M62" s="26">
        <v>25</v>
      </c>
      <c r="N62" s="33">
        <f t="shared" si="13"/>
        <v>50</v>
      </c>
      <c r="O62" s="26">
        <v>29</v>
      </c>
      <c r="P62" s="26">
        <v>33</v>
      </c>
      <c r="Q62" s="33">
        <f t="shared" si="14"/>
        <v>62</v>
      </c>
      <c r="R62" s="26">
        <v>25</v>
      </c>
      <c r="S62" s="26">
        <v>25</v>
      </c>
      <c r="T62" s="33">
        <f t="shared" si="15"/>
        <v>50</v>
      </c>
      <c r="U62" s="26">
        <v>25</v>
      </c>
      <c r="V62" s="26">
        <v>25</v>
      </c>
      <c r="W62" s="33">
        <f t="shared" si="16"/>
        <v>50</v>
      </c>
      <c r="X62" s="30"/>
      <c r="Y62" s="30"/>
      <c r="Z62" s="30"/>
      <c r="AA62" s="33">
        <f t="shared" si="17"/>
        <v>362</v>
      </c>
      <c r="AB62" s="26" t="s">
        <v>117</v>
      </c>
      <c r="AC62" s="28"/>
    </row>
    <row r="63" spans="1:29" ht="15.6" x14ac:dyDescent="0.3">
      <c r="A63" s="26">
        <v>38</v>
      </c>
      <c r="B63" s="29" t="s">
        <v>262</v>
      </c>
      <c r="C63" s="26">
        <v>34</v>
      </c>
      <c r="D63" s="26">
        <v>29</v>
      </c>
      <c r="E63" s="33">
        <f t="shared" si="10"/>
        <v>63</v>
      </c>
      <c r="F63" s="26">
        <v>36</v>
      </c>
      <c r="G63" s="26">
        <v>29</v>
      </c>
      <c r="H63" s="33">
        <f t="shared" si="11"/>
        <v>65</v>
      </c>
      <c r="I63" s="26">
        <v>32</v>
      </c>
      <c r="J63" s="26">
        <v>31</v>
      </c>
      <c r="K63" s="33">
        <f t="shared" si="12"/>
        <v>63</v>
      </c>
      <c r="L63" s="26">
        <v>46</v>
      </c>
      <c r="M63" s="26">
        <v>36</v>
      </c>
      <c r="N63" s="33">
        <f t="shared" si="13"/>
        <v>82</v>
      </c>
      <c r="O63" s="26">
        <v>49</v>
      </c>
      <c r="P63" s="26">
        <v>34</v>
      </c>
      <c r="Q63" s="33">
        <f t="shared" si="14"/>
        <v>83</v>
      </c>
      <c r="R63" s="26">
        <v>30</v>
      </c>
      <c r="S63" s="26">
        <v>25</v>
      </c>
      <c r="T63" s="33">
        <f t="shared" si="15"/>
        <v>55</v>
      </c>
      <c r="U63" s="26">
        <v>38</v>
      </c>
      <c r="V63" s="26">
        <v>25</v>
      </c>
      <c r="W63" s="33">
        <f t="shared" si="16"/>
        <v>63</v>
      </c>
      <c r="X63" s="30"/>
      <c r="Y63" s="30"/>
      <c r="Z63" s="30"/>
      <c r="AA63" s="33">
        <f t="shared" si="17"/>
        <v>474</v>
      </c>
      <c r="AB63" s="26" t="s">
        <v>117</v>
      </c>
      <c r="AC63" s="28"/>
    </row>
    <row r="64" spans="1:29" ht="15.6" x14ac:dyDescent="0.3">
      <c r="A64" s="26">
        <v>39</v>
      </c>
      <c r="B64" s="29" t="s">
        <v>263</v>
      </c>
      <c r="C64" s="26">
        <v>25</v>
      </c>
      <c r="D64" s="26">
        <v>25</v>
      </c>
      <c r="E64" s="33">
        <f t="shared" si="10"/>
        <v>50</v>
      </c>
      <c r="F64" s="26">
        <v>25</v>
      </c>
      <c r="G64" s="26">
        <v>28</v>
      </c>
      <c r="H64" s="33">
        <f t="shared" si="11"/>
        <v>53</v>
      </c>
      <c r="I64" s="26">
        <v>26</v>
      </c>
      <c r="J64" s="26">
        <v>26</v>
      </c>
      <c r="K64" s="33">
        <f t="shared" si="12"/>
        <v>52</v>
      </c>
      <c r="L64" s="26">
        <v>25</v>
      </c>
      <c r="M64" s="26">
        <v>26</v>
      </c>
      <c r="N64" s="33">
        <f t="shared" si="13"/>
        <v>51</v>
      </c>
      <c r="O64" s="26">
        <v>31</v>
      </c>
      <c r="P64" s="26">
        <v>33</v>
      </c>
      <c r="Q64" s="33">
        <f t="shared" si="14"/>
        <v>64</v>
      </c>
      <c r="R64" s="26">
        <v>25</v>
      </c>
      <c r="S64" s="26">
        <v>25</v>
      </c>
      <c r="T64" s="33">
        <f t="shared" si="15"/>
        <v>50</v>
      </c>
      <c r="U64" s="26">
        <v>17</v>
      </c>
      <c r="V64" s="26">
        <v>33</v>
      </c>
      <c r="W64" s="33">
        <f t="shared" si="16"/>
        <v>50</v>
      </c>
      <c r="X64" s="30"/>
      <c r="Y64" s="30"/>
      <c r="Z64" s="30"/>
      <c r="AA64" s="33">
        <f t="shared" si="17"/>
        <v>370</v>
      </c>
      <c r="AB64" s="26" t="s">
        <v>117</v>
      </c>
      <c r="AC64" s="28"/>
    </row>
    <row r="65" spans="1:29" ht="15.6" x14ac:dyDescent="0.3">
      <c r="A65" s="26">
        <v>40</v>
      </c>
      <c r="B65" s="29" t="s">
        <v>639</v>
      </c>
      <c r="C65" s="26">
        <v>21</v>
      </c>
      <c r="D65" s="26">
        <v>29</v>
      </c>
      <c r="E65" s="33">
        <f t="shared" si="10"/>
        <v>50</v>
      </c>
      <c r="F65" s="26">
        <v>19</v>
      </c>
      <c r="G65" s="26">
        <v>31</v>
      </c>
      <c r="H65" s="33">
        <f t="shared" si="11"/>
        <v>50</v>
      </c>
      <c r="I65" s="26">
        <v>28</v>
      </c>
      <c r="J65" s="26">
        <v>29</v>
      </c>
      <c r="K65" s="33">
        <f t="shared" si="12"/>
        <v>57</v>
      </c>
      <c r="L65" s="26">
        <v>25</v>
      </c>
      <c r="M65" s="26">
        <v>30</v>
      </c>
      <c r="N65" s="33">
        <f t="shared" si="13"/>
        <v>55</v>
      </c>
      <c r="O65" s="26">
        <v>35</v>
      </c>
      <c r="P65" s="26">
        <v>29</v>
      </c>
      <c r="Q65" s="33">
        <f t="shared" si="14"/>
        <v>64</v>
      </c>
      <c r="R65" s="26">
        <v>15</v>
      </c>
      <c r="S65" s="26">
        <v>35</v>
      </c>
      <c r="T65" s="33">
        <f t="shared" si="15"/>
        <v>50</v>
      </c>
      <c r="U65" s="26">
        <v>16</v>
      </c>
      <c r="V65" s="26">
        <v>34</v>
      </c>
      <c r="W65" s="33">
        <f t="shared" si="16"/>
        <v>50</v>
      </c>
      <c r="X65" s="30"/>
      <c r="Y65" s="30"/>
      <c r="Z65" s="30"/>
      <c r="AA65" s="33">
        <f t="shared" si="17"/>
        <v>376</v>
      </c>
      <c r="AB65" s="26" t="s">
        <v>117</v>
      </c>
      <c r="AC65" s="28"/>
    </row>
    <row r="66" spans="1:29" ht="15.6" x14ac:dyDescent="0.3">
      <c r="A66" s="3" t="s">
        <v>246</v>
      </c>
      <c r="B66" s="11"/>
      <c r="C66" s="8"/>
      <c r="D66" s="8"/>
      <c r="E66" s="8"/>
      <c r="F66" s="22"/>
      <c r="G66" s="22" t="s">
        <v>468</v>
      </c>
      <c r="H66" s="22"/>
      <c r="I66" s="22"/>
      <c r="J66" s="22"/>
      <c r="K66" s="22"/>
      <c r="L66" s="22"/>
      <c r="M66" s="22"/>
      <c r="N66" s="22"/>
      <c r="O66" s="22" t="s">
        <v>82</v>
      </c>
      <c r="P66" s="22"/>
      <c r="Q66" s="22"/>
      <c r="R66" s="22"/>
      <c r="S66" s="22"/>
      <c r="T66" s="22"/>
      <c r="U66" s="22" t="s">
        <v>83</v>
      </c>
      <c r="V66" s="22"/>
      <c r="W66" s="22"/>
      <c r="X66" s="22"/>
      <c r="Y66" s="22"/>
      <c r="Z66" s="22"/>
      <c r="AA66" s="7"/>
      <c r="AB66" s="5" t="s">
        <v>84</v>
      </c>
      <c r="AC66" s="5"/>
    </row>
    <row r="67" spans="1:29" x14ac:dyDescent="0.25">
      <c r="A67" s="3" t="s">
        <v>89</v>
      </c>
      <c r="B67" s="3"/>
      <c r="C67" s="3"/>
      <c r="D67" s="3"/>
      <c r="E67" s="3"/>
      <c r="F67" s="22" t="s">
        <v>90</v>
      </c>
      <c r="G67" s="22"/>
      <c r="H67" s="22"/>
      <c r="I67" s="22"/>
      <c r="J67" s="22"/>
      <c r="K67" s="22"/>
      <c r="L67" s="22"/>
      <c r="M67" s="22"/>
      <c r="N67" s="22" t="s">
        <v>462</v>
      </c>
      <c r="O67" s="22"/>
      <c r="P67" s="22"/>
      <c r="Q67" s="22"/>
      <c r="R67" s="22"/>
      <c r="S67" s="22"/>
      <c r="T67" s="22" t="s">
        <v>463</v>
      </c>
      <c r="U67" s="22"/>
      <c r="V67" s="22"/>
      <c r="W67" s="22"/>
      <c r="X67" s="22"/>
      <c r="Y67" s="22"/>
      <c r="Z67" s="3"/>
      <c r="AA67" s="3"/>
      <c r="AB67" s="3" t="s">
        <v>85</v>
      </c>
      <c r="AC67" s="3"/>
    </row>
    <row r="68" spans="1:29" x14ac:dyDescent="0.25">
      <c r="A68" s="3" t="s">
        <v>466</v>
      </c>
      <c r="B68" s="3"/>
      <c r="C68" s="3"/>
      <c r="D68" s="3"/>
      <c r="E68" s="3"/>
      <c r="F68" s="22" t="s">
        <v>91</v>
      </c>
      <c r="G68" s="22"/>
      <c r="H68" s="22"/>
      <c r="I68" s="22"/>
      <c r="J68" s="22"/>
      <c r="K68" s="22"/>
      <c r="L68" s="22"/>
      <c r="M68" s="22"/>
      <c r="N68" s="22" t="s">
        <v>94</v>
      </c>
      <c r="O68" s="22"/>
      <c r="P68" s="22"/>
      <c r="Q68" s="22"/>
      <c r="R68" s="22"/>
      <c r="S68" s="22"/>
      <c r="T68" s="22" t="s">
        <v>97</v>
      </c>
      <c r="U68" s="22"/>
      <c r="V68" s="22"/>
      <c r="W68" s="22"/>
      <c r="X68" s="22"/>
      <c r="Y68" s="22"/>
      <c r="Z68" s="3"/>
      <c r="AA68" s="3"/>
      <c r="AB68" s="3" t="s">
        <v>99</v>
      </c>
      <c r="AC68" s="3"/>
    </row>
    <row r="69" spans="1:29" x14ac:dyDescent="0.25">
      <c r="A69" s="3" t="s">
        <v>89</v>
      </c>
      <c r="B69" s="3"/>
      <c r="C69" s="3"/>
      <c r="D69" s="3"/>
      <c r="E69" s="3"/>
      <c r="F69" s="22" t="s">
        <v>92</v>
      </c>
      <c r="G69" s="22"/>
      <c r="H69" s="22"/>
      <c r="I69" s="22"/>
      <c r="J69" s="22"/>
      <c r="K69" s="22"/>
      <c r="L69" s="22"/>
      <c r="M69" s="22"/>
      <c r="N69" s="22" t="s">
        <v>95</v>
      </c>
      <c r="O69" s="22"/>
      <c r="P69" s="22"/>
      <c r="Q69" s="22"/>
      <c r="R69" s="22"/>
      <c r="S69" s="22"/>
      <c r="T69" s="22" t="s">
        <v>98</v>
      </c>
      <c r="U69" s="22"/>
      <c r="V69" s="22"/>
      <c r="W69" s="22"/>
      <c r="X69" s="22"/>
      <c r="Y69" s="22"/>
      <c r="Z69" s="3"/>
    </row>
    <row r="72" spans="1:29" ht="15.6" x14ac:dyDescent="0.3">
      <c r="B72" s="15" t="s">
        <v>494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 t="s">
        <v>467</v>
      </c>
      <c r="N72" s="6"/>
      <c r="O72" s="6"/>
      <c r="P72" s="6"/>
      <c r="Q72" s="6"/>
      <c r="R72" s="6"/>
      <c r="S72" s="6"/>
      <c r="T72" s="6"/>
      <c r="U72" s="6"/>
      <c r="V72" s="6"/>
      <c r="W72" s="5"/>
      <c r="X72" s="6"/>
      <c r="Y72" s="6"/>
      <c r="Z72" s="6"/>
      <c r="AA72" s="5" t="s">
        <v>456</v>
      </c>
      <c r="AB72" s="6"/>
    </row>
    <row r="73" spans="1:29" ht="15.6" x14ac:dyDescent="0.3">
      <c r="B73" s="15" t="s">
        <v>81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5"/>
      <c r="X73" s="6"/>
      <c r="Y73" s="6"/>
      <c r="Z73" s="6"/>
      <c r="AA73" s="5" t="s">
        <v>100</v>
      </c>
      <c r="AB73" s="5"/>
    </row>
    <row r="74" spans="1:29" ht="15.6" x14ac:dyDescent="0.3">
      <c r="B74" s="15" t="s">
        <v>459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5"/>
      <c r="X74" s="6"/>
      <c r="Y74" s="6"/>
      <c r="Z74" s="6"/>
      <c r="AA74" s="5" t="s">
        <v>247</v>
      </c>
      <c r="AB74" s="5"/>
    </row>
    <row r="75" spans="1:29" ht="15.6" x14ac:dyDescent="0.3">
      <c r="B75" s="15" t="s">
        <v>460</v>
      </c>
      <c r="C75" s="6"/>
      <c r="D75" s="6"/>
      <c r="E75" s="6"/>
      <c r="F75" s="6"/>
      <c r="G75" s="6"/>
      <c r="H75" s="6"/>
      <c r="I75" s="6"/>
      <c r="J75" s="6"/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5"/>
      <c r="X75" s="6"/>
      <c r="Y75" s="6"/>
      <c r="Z75" s="6"/>
      <c r="AA75" s="5" t="s">
        <v>103</v>
      </c>
      <c r="AB75" s="5"/>
    </row>
    <row r="76" spans="1:29" ht="15.6" x14ac:dyDescent="0.3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5"/>
      <c r="X76" s="6"/>
      <c r="Y76" s="6"/>
      <c r="Z76" s="6"/>
      <c r="AA76" s="5" t="s">
        <v>385</v>
      </c>
      <c r="AB76" s="5"/>
    </row>
    <row r="77" spans="1:29" ht="15.6" x14ac:dyDescent="0.3">
      <c r="B77" s="6"/>
      <c r="C77" s="5" t="s">
        <v>482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5"/>
      <c r="X77" s="6"/>
      <c r="Y77" s="6"/>
      <c r="Z77" s="6"/>
      <c r="AA77" s="5"/>
      <c r="AB77" s="5"/>
      <c r="AC77" s="5"/>
    </row>
    <row r="78" spans="1:29" ht="15.6" x14ac:dyDescent="0.3">
      <c r="A78" s="57" t="s">
        <v>0</v>
      </c>
      <c r="B78" s="66" t="s">
        <v>469</v>
      </c>
      <c r="C78" s="60" t="s">
        <v>458</v>
      </c>
      <c r="D78" s="61"/>
      <c r="E78" s="62"/>
      <c r="F78" s="60" t="s">
        <v>1</v>
      </c>
      <c r="G78" s="61"/>
      <c r="H78" s="62"/>
      <c r="I78" s="60" t="s">
        <v>2</v>
      </c>
      <c r="J78" s="61"/>
      <c r="K78" s="62"/>
      <c r="L78" s="60" t="s">
        <v>8</v>
      </c>
      <c r="M78" s="61"/>
      <c r="N78" s="62"/>
      <c r="O78" s="60" t="s">
        <v>3</v>
      </c>
      <c r="P78" s="61"/>
      <c r="Q78" s="62"/>
      <c r="R78" s="31"/>
      <c r="S78" s="31" t="s">
        <v>4</v>
      </c>
      <c r="T78" s="31"/>
      <c r="U78" s="60" t="s">
        <v>5</v>
      </c>
      <c r="V78" s="61"/>
      <c r="W78" s="62"/>
      <c r="X78" s="57" t="s">
        <v>16</v>
      </c>
      <c r="Y78" s="57" t="s">
        <v>17</v>
      </c>
      <c r="Z78" s="57" t="s">
        <v>18</v>
      </c>
      <c r="AA78" s="57" t="s">
        <v>19</v>
      </c>
      <c r="AB78" s="57" t="s">
        <v>20</v>
      </c>
      <c r="AC78" s="57" t="s">
        <v>21</v>
      </c>
    </row>
    <row r="79" spans="1:29" ht="55.2" x14ac:dyDescent="0.25">
      <c r="A79" s="58"/>
      <c r="B79" s="67"/>
      <c r="C79" s="32" t="s">
        <v>6</v>
      </c>
      <c r="D79" s="32" t="s">
        <v>461</v>
      </c>
      <c r="E79" s="32" t="s">
        <v>7</v>
      </c>
      <c r="F79" s="32" t="s">
        <v>6</v>
      </c>
      <c r="G79" s="32" t="s">
        <v>461</v>
      </c>
      <c r="H79" s="32" t="s">
        <v>7</v>
      </c>
      <c r="I79" s="32" t="s">
        <v>6</v>
      </c>
      <c r="J79" s="32" t="s">
        <v>461</v>
      </c>
      <c r="K79" s="32" t="s">
        <v>7</v>
      </c>
      <c r="L79" s="32" t="s">
        <v>6</v>
      </c>
      <c r="M79" s="32" t="s">
        <v>461</v>
      </c>
      <c r="N79" s="32" t="s">
        <v>7</v>
      </c>
      <c r="O79" s="32" t="s">
        <v>6</v>
      </c>
      <c r="P79" s="32" t="s">
        <v>461</v>
      </c>
      <c r="Q79" s="32" t="s">
        <v>7</v>
      </c>
      <c r="R79" s="32" t="s">
        <v>6</v>
      </c>
      <c r="S79" s="32" t="s">
        <v>461</v>
      </c>
      <c r="T79" s="32" t="s">
        <v>7</v>
      </c>
      <c r="U79" s="32" t="s">
        <v>6</v>
      </c>
      <c r="V79" s="32" t="s">
        <v>461</v>
      </c>
      <c r="W79" s="32" t="s">
        <v>7</v>
      </c>
      <c r="X79" s="58"/>
      <c r="Y79" s="58"/>
      <c r="Z79" s="58"/>
      <c r="AA79" s="58"/>
      <c r="AB79" s="58"/>
      <c r="AC79" s="58"/>
    </row>
    <row r="80" spans="1:29" ht="15.6" x14ac:dyDescent="0.3">
      <c r="A80" s="59"/>
      <c r="B80" s="68"/>
      <c r="C80" s="33">
        <v>50</v>
      </c>
      <c r="D80" s="33">
        <v>50</v>
      </c>
      <c r="E80" s="33">
        <v>100</v>
      </c>
      <c r="F80" s="33">
        <v>50</v>
      </c>
      <c r="G80" s="33">
        <v>50</v>
      </c>
      <c r="H80" s="33">
        <v>100</v>
      </c>
      <c r="I80" s="33">
        <v>50</v>
      </c>
      <c r="J80" s="33">
        <v>50</v>
      </c>
      <c r="K80" s="33">
        <v>100</v>
      </c>
      <c r="L80" s="33">
        <v>50</v>
      </c>
      <c r="M80" s="33">
        <v>50</v>
      </c>
      <c r="N80" s="33">
        <v>100</v>
      </c>
      <c r="O80" s="33">
        <v>50</v>
      </c>
      <c r="P80" s="33">
        <v>50</v>
      </c>
      <c r="Q80" s="33">
        <v>100</v>
      </c>
      <c r="R80" s="33">
        <v>50</v>
      </c>
      <c r="S80" s="33">
        <v>50</v>
      </c>
      <c r="T80" s="33">
        <v>100</v>
      </c>
      <c r="U80" s="33">
        <v>50</v>
      </c>
      <c r="V80" s="33">
        <v>50</v>
      </c>
      <c r="W80" s="33">
        <v>100</v>
      </c>
      <c r="X80" s="59"/>
      <c r="Y80" s="59"/>
      <c r="Z80" s="59"/>
      <c r="AA80" s="59"/>
      <c r="AB80" s="59"/>
      <c r="AC80" s="59"/>
    </row>
    <row r="81" spans="1:29" ht="15.6" x14ac:dyDescent="0.3">
      <c r="A81" s="26">
        <v>41</v>
      </c>
      <c r="B81" s="29" t="s">
        <v>264</v>
      </c>
      <c r="C81" s="26">
        <v>32</v>
      </c>
      <c r="D81" s="26">
        <v>25</v>
      </c>
      <c r="E81" s="33">
        <f t="shared" ref="E81:E85" si="18">SUM(C81:D81)</f>
        <v>57</v>
      </c>
      <c r="F81" s="26">
        <v>27</v>
      </c>
      <c r="G81" s="26">
        <v>29</v>
      </c>
      <c r="H81" s="33">
        <f t="shared" ref="H81:H85" si="19">SUM(F81:G81)</f>
        <v>56</v>
      </c>
      <c r="I81" s="26">
        <v>28</v>
      </c>
      <c r="J81" s="26">
        <v>28</v>
      </c>
      <c r="K81" s="33">
        <f t="shared" ref="K81:K85" si="20">SUM(I81:J81)</f>
        <v>56</v>
      </c>
      <c r="L81" s="26">
        <v>35</v>
      </c>
      <c r="M81" s="26">
        <v>29</v>
      </c>
      <c r="N81" s="33">
        <f t="shared" ref="N81:N85" si="21">SUM(L81:M81)</f>
        <v>64</v>
      </c>
      <c r="O81" s="26">
        <v>30</v>
      </c>
      <c r="P81" s="26">
        <v>26</v>
      </c>
      <c r="Q81" s="33">
        <f t="shared" ref="Q81:Q85" si="22">SUM(O81:P81)</f>
        <v>56</v>
      </c>
      <c r="R81" s="26">
        <v>25</v>
      </c>
      <c r="S81" s="26">
        <v>26</v>
      </c>
      <c r="T81" s="33">
        <f t="shared" ref="T81:T85" si="23">SUM(R81:S81)</f>
        <v>51</v>
      </c>
      <c r="U81" s="26">
        <v>27</v>
      </c>
      <c r="V81" s="26">
        <v>25</v>
      </c>
      <c r="W81" s="33">
        <f t="shared" ref="W81:W85" si="24">SUM(U81:V81)</f>
        <v>52</v>
      </c>
      <c r="X81" s="30"/>
      <c r="Y81" s="30"/>
      <c r="Z81" s="30"/>
      <c r="AA81" s="33">
        <f t="shared" ref="AA81:AA89" si="25">SUM(W81,T81,Q81,N81,K81,H81,E81)</f>
        <v>392</v>
      </c>
      <c r="AB81" s="26" t="s">
        <v>117</v>
      </c>
      <c r="AC81" s="28"/>
    </row>
    <row r="82" spans="1:29" ht="15.6" x14ac:dyDescent="0.3">
      <c r="A82" s="26">
        <v>42</v>
      </c>
      <c r="B82" s="29" t="s">
        <v>265</v>
      </c>
      <c r="C82" s="26">
        <v>21</v>
      </c>
      <c r="D82" s="26">
        <v>29</v>
      </c>
      <c r="E82" s="33">
        <f>SUM(C82:D82)</f>
        <v>50</v>
      </c>
      <c r="F82" s="26">
        <v>24</v>
      </c>
      <c r="G82" s="26">
        <v>27</v>
      </c>
      <c r="H82" s="33">
        <f>SUM(F82:G82)</f>
        <v>51</v>
      </c>
      <c r="I82" s="26">
        <v>25</v>
      </c>
      <c r="J82" s="26">
        <v>30</v>
      </c>
      <c r="K82" s="33">
        <f>SUM(I82:J82)</f>
        <v>55</v>
      </c>
      <c r="L82" s="26">
        <v>24</v>
      </c>
      <c r="M82" s="26">
        <v>26</v>
      </c>
      <c r="N82" s="33">
        <f>SUM(L82:M82)</f>
        <v>50</v>
      </c>
      <c r="O82" s="26">
        <v>37</v>
      </c>
      <c r="P82" s="26">
        <v>30</v>
      </c>
      <c r="Q82" s="33">
        <f>SUM(O82:P82)</f>
        <v>67</v>
      </c>
      <c r="R82" s="26">
        <v>15</v>
      </c>
      <c r="S82" s="26">
        <v>35</v>
      </c>
      <c r="T82" s="33">
        <f>SUM(R82:S82)</f>
        <v>50</v>
      </c>
      <c r="U82" s="26">
        <v>16</v>
      </c>
      <c r="V82" s="26">
        <v>34</v>
      </c>
      <c r="W82" s="33">
        <f>SUM(U82:V82)</f>
        <v>50</v>
      </c>
      <c r="X82" s="30"/>
      <c r="Y82" s="30"/>
      <c r="Z82" s="30"/>
      <c r="AA82" s="33">
        <f t="shared" si="25"/>
        <v>373</v>
      </c>
      <c r="AB82" s="26" t="s">
        <v>117</v>
      </c>
      <c r="AC82" s="28"/>
    </row>
    <row r="83" spans="1:29" ht="15.6" x14ac:dyDescent="0.3">
      <c r="A83" s="26">
        <v>43</v>
      </c>
      <c r="B83" s="29" t="s">
        <v>266</v>
      </c>
      <c r="C83" s="26">
        <v>26</v>
      </c>
      <c r="D83" s="26">
        <v>25</v>
      </c>
      <c r="E83" s="33">
        <f t="shared" si="18"/>
        <v>51</v>
      </c>
      <c r="F83" s="26">
        <v>25</v>
      </c>
      <c r="G83" s="26">
        <v>32</v>
      </c>
      <c r="H83" s="33">
        <f t="shared" si="19"/>
        <v>57</v>
      </c>
      <c r="I83" s="26">
        <v>31</v>
      </c>
      <c r="J83" s="26">
        <v>39</v>
      </c>
      <c r="K83" s="33">
        <f t="shared" si="20"/>
        <v>70</v>
      </c>
      <c r="L83" s="26">
        <v>35</v>
      </c>
      <c r="M83" s="26">
        <v>36</v>
      </c>
      <c r="N83" s="33">
        <f t="shared" si="21"/>
        <v>71</v>
      </c>
      <c r="O83" s="26">
        <v>37</v>
      </c>
      <c r="P83" s="26">
        <v>25</v>
      </c>
      <c r="Q83" s="33">
        <f t="shared" si="22"/>
        <v>62</v>
      </c>
      <c r="R83" s="26">
        <v>25</v>
      </c>
      <c r="S83" s="26">
        <v>36</v>
      </c>
      <c r="T83" s="33">
        <f t="shared" si="23"/>
        <v>61</v>
      </c>
      <c r="U83" s="26">
        <v>25</v>
      </c>
      <c r="V83" s="26">
        <v>25</v>
      </c>
      <c r="W83" s="33">
        <f t="shared" si="24"/>
        <v>50</v>
      </c>
      <c r="X83" s="30"/>
      <c r="Y83" s="30"/>
      <c r="Z83" s="30"/>
      <c r="AA83" s="33">
        <f t="shared" si="25"/>
        <v>422</v>
      </c>
      <c r="AB83" s="26" t="s">
        <v>117</v>
      </c>
      <c r="AC83" s="28"/>
    </row>
    <row r="84" spans="1:29" ht="15.6" x14ac:dyDescent="0.3">
      <c r="A84" s="26">
        <v>44</v>
      </c>
      <c r="B84" s="29" t="s">
        <v>267</v>
      </c>
      <c r="C84" s="26">
        <v>26</v>
      </c>
      <c r="D84" s="26">
        <v>25</v>
      </c>
      <c r="E84" s="33">
        <f t="shared" si="18"/>
        <v>51</v>
      </c>
      <c r="F84" s="26">
        <v>21</v>
      </c>
      <c r="G84" s="26">
        <v>37</v>
      </c>
      <c r="H84" s="33">
        <f t="shared" si="19"/>
        <v>58</v>
      </c>
      <c r="I84" s="26">
        <v>27</v>
      </c>
      <c r="J84" s="26">
        <v>27</v>
      </c>
      <c r="K84" s="33">
        <f t="shared" si="20"/>
        <v>54</v>
      </c>
      <c r="L84" s="26">
        <v>25</v>
      </c>
      <c r="M84" s="26">
        <v>32</v>
      </c>
      <c r="N84" s="33">
        <f t="shared" si="21"/>
        <v>57</v>
      </c>
      <c r="O84" s="26">
        <v>23</v>
      </c>
      <c r="P84" s="26">
        <v>27</v>
      </c>
      <c r="Q84" s="33">
        <f t="shared" si="22"/>
        <v>50</v>
      </c>
      <c r="R84" s="26">
        <v>13</v>
      </c>
      <c r="S84" s="26">
        <v>37</v>
      </c>
      <c r="T84" s="33">
        <f t="shared" si="23"/>
        <v>50</v>
      </c>
      <c r="U84" s="26">
        <v>17</v>
      </c>
      <c r="V84" s="26">
        <v>33</v>
      </c>
      <c r="W84" s="33">
        <f t="shared" si="24"/>
        <v>50</v>
      </c>
      <c r="X84" s="30"/>
      <c r="Y84" s="30"/>
      <c r="Z84" s="30"/>
      <c r="AA84" s="33">
        <f t="shared" si="25"/>
        <v>370</v>
      </c>
      <c r="AB84" s="26" t="s">
        <v>117</v>
      </c>
      <c r="AC84" s="28"/>
    </row>
    <row r="85" spans="1:29" ht="15.6" x14ac:dyDescent="0.3">
      <c r="A85" s="26">
        <v>45</v>
      </c>
      <c r="B85" s="29" t="s">
        <v>268</v>
      </c>
      <c r="C85" s="26">
        <v>39</v>
      </c>
      <c r="D85" s="26">
        <v>44</v>
      </c>
      <c r="E85" s="33">
        <f t="shared" si="18"/>
        <v>83</v>
      </c>
      <c r="F85" s="26">
        <v>49</v>
      </c>
      <c r="G85" s="26">
        <v>48</v>
      </c>
      <c r="H85" s="33">
        <f t="shared" si="19"/>
        <v>97</v>
      </c>
      <c r="I85" s="26">
        <v>48</v>
      </c>
      <c r="J85" s="26">
        <v>50</v>
      </c>
      <c r="K85" s="33">
        <f t="shared" si="20"/>
        <v>98</v>
      </c>
      <c r="L85" s="26">
        <v>50</v>
      </c>
      <c r="M85" s="26">
        <v>46</v>
      </c>
      <c r="N85" s="33">
        <f t="shared" si="21"/>
        <v>96</v>
      </c>
      <c r="O85" s="26">
        <v>49</v>
      </c>
      <c r="P85" s="26">
        <v>45</v>
      </c>
      <c r="Q85" s="33">
        <f t="shared" si="22"/>
        <v>94</v>
      </c>
      <c r="R85" s="26">
        <v>48</v>
      </c>
      <c r="S85" s="26">
        <v>49</v>
      </c>
      <c r="T85" s="33">
        <f t="shared" si="23"/>
        <v>97</v>
      </c>
      <c r="U85" s="26">
        <v>39</v>
      </c>
      <c r="V85" s="26">
        <v>49</v>
      </c>
      <c r="W85" s="33">
        <f t="shared" si="24"/>
        <v>88</v>
      </c>
      <c r="X85" s="30"/>
      <c r="Y85" s="30"/>
      <c r="Z85" s="30"/>
      <c r="AA85" s="33">
        <f t="shared" si="25"/>
        <v>653</v>
      </c>
      <c r="AB85" s="26" t="s">
        <v>117</v>
      </c>
      <c r="AC85" s="28"/>
    </row>
    <row r="86" spans="1:29" ht="15.6" x14ac:dyDescent="0.3">
      <c r="A86" s="26">
        <v>46</v>
      </c>
      <c r="B86" s="29" t="s">
        <v>507</v>
      </c>
      <c r="C86" s="26">
        <v>25</v>
      </c>
      <c r="D86" s="26">
        <v>25</v>
      </c>
      <c r="E86" s="33">
        <f t="shared" ref="E86:E88" si="26">SUM(C86:D86)</f>
        <v>50</v>
      </c>
      <c r="F86" s="26">
        <v>25</v>
      </c>
      <c r="G86" s="26">
        <v>27</v>
      </c>
      <c r="H86" s="33">
        <f t="shared" ref="H86:H88" si="27">SUM(F86:G86)</f>
        <v>52</v>
      </c>
      <c r="I86" s="26">
        <v>25</v>
      </c>
      <c r="J86" s="26">
        <v>25</v>
      </c>
      <c r="K86" s="33">
        <f t="shared" ref="K86:K88" si="28">SUM(I86:J86)</f>
        <v>50</v>
      </c>
      <c r="L86" s="26">
        <v>25</v>
      </c>
      <c r="M86" s="26">
        <v>29</v>
      </c>
      <c r="N86" s="33">
        <f t="shared" ref="N86:N88" si="29">SUM(L86:M86)</f>
        <v>54</v>
      </c>
      <c r="O86" s="26">
        <v>25</v>
      </c>
      <c r="P86" s="26">
        <v>25</v>
      </c>
      <c r="Q86" s="33">
        <f t="shared" ref="Q86:Q88" si="30">SUM(O86:P86)</f>
        <v>50</v>
      </c>
      <c r="R86" s="26">
        <v>25</v>
      </c>
      <c r="S86" s="26">
        <v>25</v>
      </c>
      <c r="T86" s="33">
        <f t="shared" ref="T86:T88" si="31">SUM(R86:S86)</f>
        <v>50</v>
      </c>
      <c r="U86" s="26">
        <v>25</v>
      </c>
      <c r="V86" s="26">
        <v>36</v>
      </c>
      <c r="W86" s="33">
        <f t="shared" ref="W86:W88" si="32">SUM(U86:V86)</f>
        <v>61</v>
      </c>
      <c r="X86" s="30"/>
      <c r="Y86" s="30"/>
      <c r="Z86" s="30"/>
      <c r="AA86" s="33">
        <f t="shared" si="25"/>
        <v>367</v>
      </c>
      <c r="AB86" s="26" t="s">
        <v>117</v>
      </c>
      <c r="AC86" s="28"/>
    </row>
    <row r="87" spans="1:29" ht="15.6" x14ac:dyDescent="0.3">
      <c r="A87" s="26">
        <v>47</v>
      </c>
      <c r="B87" s="29" t="s">
        <v>270</v>
      </c>
      <c r="C87" s="26">
        <v>25</v>
      </c>
      <c r="D87" s="26">
        <v>25</v>
      </c>
      <c r="E87" s="33">
        <f t="shared" si="26"/>
        <v>50</v>
      </c>
      <c r="F87" s="26">
        <v>25</v>
      </c>
      <c r="G87" s="26">
        <v>28</v>
      </c>
      <c r="H87" s="33">
        <f t="shared" si="27"/>
        <v>53</v>
      </c>
      <c r="I87" s="26">
        <v>28</v>
      </c>
      <c r="J87" s="26">
        <v>31</v>
      </c>
      <c r="K87" s="33">
        <f t="shared" si="28"/>
        <v>59</v>
      </c>
      <c r="L87" s="26">
        <v>25</v>
      </c>
      <c r="M87" s="26">
        <v>25</v>
      </c>
      <c r="N87" s="33">
        <f t="shared" si="29"/>
        <v>50</v>
      </c>
      <c r="O87" s="26">
        <v>35</v>
      </c>
      <c r="P87" s="26">
        <v>29</v>
      </c>
      <c r="Q87" s="33">
        <f t="shared" si="30"/>
        <v>64</v>
      </c>
      <c r="R87" s="26">
        <v>28</v>
      </c>
      <c r="S87" s="26">
        <v>23</v>
      </c>
      <c r="T87" s="33">
        <f t="shared" si="31"/>
        <v>51</v>
      </c>
      <c r="U87" s="26">
        <v>29</v>
      </c>
      <c r="V87" s="26">
        <v>25</v>
      </c>
      <c r="W87" s="33">
        <f t="shared" si="32"/>
        <v>54</v>
      </c>
      <c r="X87" s="30"/>
      <c r="Y87" s="30"/>
      <c r="Z87" s="30"/>
      <c r="AA87" s="33">
        <f t="shared" si="25"/>
        <v>381</v>
      </c>
      <c r="AB87" s="26" t="s">
        <v>117</v>
      </c>
      <c r="AC87" s="28"/>
    </row>
    <row r="88" spans="1:29" ht="15.6" x14ac:dyDescent="0.3">
      <c r="A88" s="26">
        <v>48</v>
      </c>
      <c r="B88" s="29" t="s">
        <v>271</v>
      </c>
      <c r="C88" s="26">
        <v>21</v>
      </c>
      <c r="D88" s="26">
        <v>29</v>
      </c>
      <c r="E88" s="33">
        <f t="shared" si="26"/>
        <v>50</v>
      </c>
      <c r="F88" s="26">
        <v>18</v>
      </c>
      <c r="G88" s="26">
        <v>32</v>
      </c>
      <c r="H88" s="33">
        <f t="shared" si="27"/>
        <v>50</v>
      </c>
      <c r="I88" s="26">
        <v>26</v>
      </c>
      <c r="J88" s="26">
        <v>27</v>
      </c>
      <c r="K88" s="33">
        <f t="shared" si="28"/>
        <v>53</v>
      </c>
      <c r="L88" s="26">
        <v>25</v>
      </c>
      <c r="M88" s="26">
        <v>26</v>
      </c>
      <c r="N88" s="33">
        <f t="shared" si="29"/>
        <v>51</v>
      </c>
      <c r="O88" s="26">
        <v>24</v>
      </c>
      <c r="P88" s="26">
        <v>26</v>
      </c>
      <c r="Q88" s="33">
        <f t="shared" si="30"/>
        <v>50</v>
      </c>
      <c r="R88" s="26">
        <v>13</v>
      </c>
      <c r="S88" s="26">
        <v>37</v>
      </c>
      <c r="T88" s="33">
        <f t="shared" si="31"/>
        <v>50</v>
      </c>
      <c r="U88" s="26">
        <v>16</v>
      </c>
      <c r="V88" s="26">
        <v>34</v>
      </c>
      <c r="W88" s="33">
        <f t="shared" si="32"/>
        <v>50</v>
      </c>
      <c r="X88" s="30"/>
      <c r="Y88" s="30"/>
      <c r="Z88" s="30"/>
      <c r="AA88" s="33">
        <f t="shared" si="25"/>
        <v>354</v>
      </c>
      <c r="AB88" s="26" t="s">
        <v>117</v>
      </c>
      <c r="AC88" s="28"/>
    </row>
    <row r="89" spans="1:29" ht="15.6" x14ac:dyDescent="0.3">
      <c r="A89" s="26">
        <v>49</v>
      </c>
      <c r="B89" s="29" t="s">
        <v>272</v>
      </c>
      <c r="C89" s="26">
        <v>21</v>
      </c>
      <c r="D89" s="26">
        <v>29</v>
      </c>
      <c r="E89" s="33">
        <f>SUM(C89:D89)</f>
        <v>50</v>
      </c>
      <c r="F89" s="26">
        <v>23</v>
      </c>
      <c r="G89" s="26">
        <v>27</v>
      </c>
      <c r="H89" s="33">
        <f>SUM(F89:G89)</f>
        <v>50</v>
      </c>
      <c r="I89" s="26">
        <v>14</v>
      </c>
      <c r="J89" s="26">
        <v>36</v>
      </c>
      <c r="K89" s="33">
        <f>SUM(I89:J89)</f>
        <v>50</v>
      </c>
      <c r="L89" s="26">
        <v>38</v>
      </c>
      <c r="M89" s="26">
        <v>29</v>
      </c>
      <c r="N89" s="33">
        <f>SUM(L89:M89)</f>
        <v>67</v>
      </c>
      <c r="O89" s="26">
        <v>25</v>
      </c>
      <c r="P89" s="26">
        <v>33</v>
      </c>
      <c r="Q89" s="33">
        <f>SUM(O89:P89)</f>
        <v>58</v>
      </c>
      <c r="R89" s="26">
        <v>18</v>
      </c>
      <c r="S89" s="26">
        <v>32</v>
      </c>
      <c r="T89" s="33">
        <f>SUM(R89:S89)</f>
        <v>50</v>
      </c>
      <c r="U89" s="26">
        <v>18</v>
      </c>
      <c r="V89" s="26">
        <v>32</v>
      </c>
      <c r="W89" s="33">
        <f>SUM(U89:V89)</f>
        <v>50</v>
      </c>
      <c r="X89" s="30"/>
      <c r="Y89" s="30"/>
      <c r="Z89" s="30"/>
      <c r="AA89" s="33">
        <f t="shared" si="25"/>
        <v>375</v>
      </c>
      <c r="AB89" s="26" t="s">
        <v>117</v>
      </c>
      <c r="AC89" s="28"/>
    </row>
    <row r="90" spans="1:29" ht="15.6" x14ac:dyDescent="0.3">
      <c r="A90" s="26"/>
      <c r="B90" s="27"/>
      <c r="C90" s="26"/>
      <c r="D90" s="26"/>
      <c r="E90" s="33"/>
      <c r="F90" s="26"/>
      <c r="G90" s="26"/>
      <c r="H90" s="33"/>
      <c r="I90" s="26"/>
      <c r="J90" s="26"/>
      <c r="K90" s="33"/>
      <c r="L90" s="26"/>
      <c r="M90" s="26"/>
      <c r="N90" s="33"/>
      <c r="O90" s="26"/>
      <c r="P90" s="26"/>
      <c r="Q90" s="33"/>
      <c r="R90" s="26"/>
      <c r="S90" s="26"/>
      <c r="T90" s="33"/>
      <c r="U90" s="26"/>
      <c r="V90" s="26"/>
      <c r="W90" s="33"/>
      <c r="X90" s="30"/>
      <c r="Y90" s="30"/>
      <c r="Z90" s="30"/>
      <c r="AA90" s="33"/>
      <c r="AB90" s="26"/>
      <c r="AC90" s="28"/>
    </row>
    <row r="91" spans="1:29" ht="15.6" x14ac:dyDescent="0.3">
      <c r="A91" s="26"/>
      <c r="B91" s="27"/>
      <c r="C91" s="26"/>
      <c r="D91" s="26"/>
      <c r="E91" s="33"/>
      <c r="F91" s="26"/>
      <c r="G91" s="26"/>
      <c r="H91" s="33"/>
      <c r="I91" s="26"/>
      <c r="J91" s="26"/>
      <c r="K91" s="33"/>
      <c r="L91" s="26"/>
      <c r="M91" s="26"/>
      <c r="N91" s="33"/>
      <c r="O91" s="26"/>
      <c r="P91" s="26"/>
      <c r="Q91" s="33"/>
      <c r="R91" s="26"/>
      <c r="S91" s="26"/>
      <c r="T91" s="33"/>
      <c r="U91" s="26"/>
      <c r="V91" s="26"/>
      <c r="W91" s="33"/>
      <c r="X91" s="30"/>
      <c r="Y91" s="30"/>
      <c r="Z91" s="30"/>
      <c r="AA91" s="33"/>
      <c r="AB91" s="26"/>
      <c r="AC91" s="28"/>
    </row>
    <row r="92" spans="1:29" ht="15.6" x14ac:dyDescent="0.3">
      <c r="A92" s="26"/>
      <c r="B92" s="27"/>
      <c r="C92" s="26"/>
      <c r="D92" s="26"/>
      <c r="E92" s="33"/>
      <c r="F92" s="26"/>
      <c r="G92" s="26"/>
      <c r="H92" s="33"/>
      <c r="I92" s="26"/>
      <c r="J92" s="26"/>
      <c r="K92" s="33"/>
      <c r="L92" s="26"/>
      <c r="M92" s="26"/>
      <c r="N92" s="33"/>
      <c r="O92" s="26"/>
      <c r="P92" s="26"/>
      <c r="Q92" s="33"/>
      <c r="R92" s="26"/>
      <c r="S92" s="26"/>
      <c r="T92" s="33"/>
      <c r="U92" s="26"/>
      <c r="V92" s="26"/>
      <c r="W92" s="33"/>
      <c r="X92" s="30"/>
      <c r="Y92" s="30"/>
      <c r="Z92" s="30"/>
      <c r="AA92" s="33"/>
      <c r="AB92" s="26"/>
      <c r="AC92" s="28"/>
    </row>
    <row r="93" spans="1:29" ht="15.6" x14ac:dyDescent="0.3">
      <c r="A93" s="26"/>
      <c r="B93" s="27"/>
      <c r="C93" s="26"/>
      <c r="D93" s="26"/>
      <c r="E93" s="33"/>
      <c r="F93" s="26"/>
      <c r="G93" s="26"/>
      <c r="H93" s="33"/>
      <c r="I93" s="26"/>
      <c r="J93" s="26"/>
      <c r="K93" s="33"/>
      <c r="L93" s="26"/>
      <c r="M93" s="26"/>
      <c r="N93" s="33"/>
      <c r="O93" s="26"/>
      <c r="P93" s="26"/>
      <c r="Q93" s="33"/>
      <c r="R93" s="26"/>
      <c r="S93" s="26"/>
      <c r="T93" s="33"/>
      <c r="U93" s="26"/>
      <c r="V93" s="26"/>
      <c r="W93" s="33"/>
      <c r="X93" s="30"/>
      <c r="Y93" s="30"/>
      <c r="Z93" s="30"/>
      <c r="AA93" s="33"/>
      <c r="AB93" s="26"/>
      <c r="AC93" s="28"/>
    </row>
    <row r="94" spans="1:29" ht="15.6" x14ac:dyDescent="0.3">
      <c r="A94" s="26"/>
      <c r="B94" s="27"/>
      <c r="C94" s="26"/>
      <c r="D94" s="26"/>
      <c r="E94" s="33"/>
      <c r="F94" s="26"/>
      <c r="G94" s="26"/>
      <c r="H94" s="33"/>
      <c r="I94" s="26"/>
      <c r="J94" s="26"/>
      <c r="K94" s="33"/>
      <c r="L94" s="26"/>
      <c r="M94" s="26"/>
      <c r="N94" s="33"/>
      <c r="O94" s="26"/>
      <c r="P94" s="26"/>
      <c r="Q94" s="33"/>
      <c r="R94" s="26"/>
      <c r="S94" s="26"/>
      <c r="T94" s="33"/>
      <c r="U94" s="26"/>
      <c r="V94" s="26"/>
      <c r="W94" s="33"/>
      <c r="X94" s="30"/>
      <c r="Y94" s="30"/>
      <c r="Z94" s="30"/>
      <c r="AA94" s="33"/>
      <c r="AB94" s="26"/>
      <c r="AC94" s="28"/>
    </row>
    <row r="95" spans="1:29" ht="15.6" x14ac:dyDescent="0.3">
      <c r="A95" s="26"/>
      <c r="B95" s="27"/>
      <c r="C95" s="26"/>
      <c r="D95" s="26"/>
      <c r="E95" s="33"/>
      <c r="F95" s="26"/>
      <c r="G95" s="26"/>
      <c r="H95" s="33"/>
      <c r="I95" s="26"/>
      <c r="J95" s="26"/>
      <c r="K95" s="33"/>
      <c r="L95" s="26"/>
      <c r="M95" s="26"/>
      <c r="N95" s="33"/>
      <c r="O95" s="26"/>
      <c r="P95" s="26"/>
      <c r="Q95" s="33"/>
      <c r="R95" s="26"/>
      <c r="S95" s="26"/>
      <c r="T95" s="33"/>
      <c r="U95" s="26"/>
      <c r="V95" s="26"/>
      <c r="W95" s="33"/>
      <c r="X95" s="30"/>
      <c r="Y95" s="30"/>
      <c r="Z95" s="30"/>
      <c r="AA95" s="33"/>
      <c r="AB95" s="26"/>
      <c r="AC95" s="28"/>
    </row>
    <row r="96" spans="1:29" ht="15.6" x14ac:dyDescent="0.3">
      <c r="A96" s="26"/>
      <c r="B96" s="27"/>
      <c r="C96" s="26"/>
      <c r="D96" s="26"/>
      <c r="E96" s="33"/>
      <c r="F96" s="26"/>
      <c r="G96" s="26"/>
      <c r="H96" s="33"/>
      <c r="I96" s="26"/>
      <c r="J96" s="26"/>
      <c r="K96" s="33"/>
      <c r="L96" s="26"/>
      <c r="M96" s="26"/>
      <c r="N96" s="33"/>
      <c r="O96" s="26"/>
      <c r="P96" s="26"/>
      <c r="Q96" s="33"/>
      <c r="R96" s="26"/>
      <c r="S96" s="26"/>
      <c r="T96" s="33"/>
      <c r="U96" s="26"/>
      <c r="V96" s="26"/>
      <c r="W96" s="33"/>
      <c r="X96" s="30"/>
      <c r="Y96" s="30"/>
      <c r="Z96" s="30"/>
      <c r="AA96" s="33"/>
      <c r="AB96" s="26"/>
      <c r="AC96" s="28"/>
    </row>
    <row r="97" spans="1:29" ht="15.6" x14ac:dyDescent="0.3">
      <c r="A97" s="26"/>
      <c r="B97" s="27"/>
      <c r="C97" s="26"/>
      <c r="D97" s="26"/>
      <c r="E97" s="33"/>
      <c r="F97" s="26"/>
      <c r="G97" s="26"/>
      <c r="H97" s="33"/>
      <c r="I97" s="26"/>
      <c r="J97" s="26"/>
      <c r="K97" s="33"/>
      <c r="L97" s="26"/>
      <c r="M97" s="26"/>
      <c r="N97" s="33"/>
      <c r="O97" s="26"/>
      <c r="P97" s="26"/>
      <c r="Q97" s="33"/>
      <c r="R97" s="26"/>
      <c r="S97" s="26"/>
      <c r="T97" s="33"/>
      <c r="U97" s="26"/>
      <c r="V97" s="26"/>
      <c r="W97" s="33"/>
      <c r="X97" s="30"/>
      <c r="Y97" s="30"/>
      <c r="Z97" s="30"/>
      <c r="AA97" s="33"/>
      <c r="AB97" s="26"/>
      <c r="AC97" s="28"/>
    </row>
    <row r="98" spans="1:29" ht="15.6" x14ac:dyDescent="0.3">
      <c r="A98" s="26"/>
      <c r="B98" s="27"/>
      <c r="C98" s="26"/>
      <c r="D98" s="26"/>
      <c r="E98" s="33"/>
      <c r="F98" s="26"/>
      <c r="G98" s="26"/>
      <c r="H98" s="33"/>
      <c r="I98" s="26"/>
      <c r="J98" s="26"/>
      <c r="K98" s="33"/>
      <c r="L98" s="26"/>
      <c r="M98" s="26"/>
      <c r="N98" s="33"/>
      <c r="O98" s="26"/>
      <c r="P98" s="26"/>
      <c r="Q98" s="33"/>
      <c r="R98" s="26"/>
      <c r="S98" s="26"/>
      <c r="T98" s="33"/>
      <c r="U98" s="26"/>
      <c r="V98" s="26"/>
      <c r="W98" s="33"/>
      <c r="X98" s="30"/>
      <c r="Y98" s="30"/>
      <c r="Z98" s="30"/>
      <c r="AA98" s="33"/>
      <c r="AB98" s="26"/>
      <c r="AC98" s="28"/>
    </row>
    <row r="99" spans="1:29" ht="15.6" x14ac:dyDescent="0.3">
      <c r="A99" s="26"/>
      <c r="B99" s="27"/>
      <c r="C99" s="26"/>
      <c r="D99" s="26"/>
      <c r="E99" s="33"/>
      <c r="F99" s="26"/>
      <c r="G99" s="26"/>
      <c r="H99" s="33"/>
      <c r="I99" s="26"/>
      <c r="J99" s="26"/>
      <c r="K99" s="33"/>
      <c r="L99" s="26"/>
      <c r="M99" s="26"/>
      <c r="N99" s="33"/>
      <c r="O99" s="26"/>
      <c r="P99" s="26"/>
      <c r="Q99" s="33"/>
      <c r="R99" s="26"/>
      <c r="S99" s="26"/>
      <c r="T99" s="33"/>
      <c r="U99" s="26"/>
      <c r="V99" s="26"/>
      <c r="W99" s="33"/>
      <c r="X99" s="30"/>
      <c r="Y99" s="30"/>
      <c r="Z99" s="30"/>
      <c r="AA99" s="33"/>
      <c r="AB99" s="26"/>
      <c r="AC99" s="28"/>
    </row>
    <row r="100" spans="1:29" ht="15.6" x14ac:dyDescent="0.3">
      <c r="A100" s="26"/>
      <c r="B100" s="27"/>
      <c r="C100" s="26"/>
      <c r="D100" s="26"/>
      <c r="E100" s="33"/>
      <c r="F100" s="26"/>
      <c r="G100" s="26"/>
      <c r="H100" s="33"/>
      <c r="I100" s="26"/>
      <c r="J100" s="26"/>
      <c r="K100" s="33"/>
      <c r="L100" s="26"/>
      <c r="M100" s="26"/>
      <c r="N100" s="33"/>
      <c r="O100" s="26"/>
      <c r="P100" s="26"/>
      <c r="Q100" s="33"/>
      <c r="R100" s="26"/>
      <c r="S100" s="26"/>
      <c r="T100" s="33"/>
      <c r="U100" s="26"/>
      <c r="V100" s="26"/>
      <c r="W100" s="33"/>
      <c r="X100" s="30"/>
      <c r="Y100" s="30"/>
      <c r="Z100" s="30"/>
      <c r="AA100" s="33"/>
      <c r="AB100" s="26"/>
      <c r="AC100" s="28"/>
    </row>
    <row r="101" spans="1:29" ht="15.6" x14ac:dyDescent="0.3">
      <c r="A101" s="3" t="s">
        <v>246</v>
      </c>
      <c r="B101" s="11"/>
      <c r="C101" s="8"/>
      <c r="D101" s="8"/>
      <c r="E101" s="8"/>
      <c r="F101" s="22"/>
      <c r="G101" s="22" t="s">
        <v>468</v>
      </c>
      <c r="H101" s="22"/>
      <c r="I101" s="22"/>
      <c r="J101" s="22"/>
      <c r="K101" s="22"/>
      <c r="L101" s="22"/>
      <c r="M101" s="22"/>
      <c r="N101" s="22"/>
      <c r="O101" s="22" t="s">
        <v>82</v>
      </c>
      <c r="P101" s="22"/>
      <c r="Q101" s="22"/>
      <c r="R101" s="22"/>
      <c r="S101" s="22"/>
      <c r="T101" s="22"/>
      <c r="U101" s="22" t="s">
        <v>83</v>
      </c>
      <c r="V101" s="22"/>
      <c r="W101" s="22"/>
      <c r="X101" s="22"/>
      <c r="Y101" s="22"/>
      <c r="Z101" s="22"/>
      <c r="AA101" s="7"/>
      <c r="AB101" s="5" t="s">
        <v>84</v>
      </c>
      <c r="AC101" s="5"/>
    </row>
    <row r="102" spans="1:29" x14ac:dyDescent="0.25">
      <c r="A102" s="22" t="s">
        <v>89</v>
      </c>
      <c r="B102" s="22"/>
      <c r="C102" s="22"/>
      <c r="D102" s="22"/>
      <c r="E102" s="22"/>
      <c r="F102" s="22" t="s">
        <v>90</v>
      </c>
      <c r="G102" s="22"/>
      <c r="H102" s="22"/>
      <c r="I102" s="22"/>
      <c r="J102" s="22"/>
      <c r="K102" s="22"/>
      <c r="L102" s="22"/>
      <c r="M102" s="22"/>
      <c r="N102" s="22" t="s">
        <v>462</v>
      </c>
      <c r="O102" s="22"/>
      <c r="P102" s="22"/>
      <c r="Q102" s="22"/>
      <c r="R102" s="22"/>
      <c r="S102" s="22"/>
      <c r="T102" s="22" t="s">
        <v>463</v>
      </c>
      <c r="U102" s="22"/>
      <c r="V102" s="22"/>
      <c r="W102" s="22"/>
      <c r="X102" s="22"/>
      <c r="Y102" s="22"/>
      <c r="Z102" s="22"/>
      <c r="AA102" s="3"/>
      <c r="AB102" s="3" t="s">
        <v>85</v>
      </c>
      <c r="AC102" s="3"/>
    </row>
    <row r="103" spans="1:29" x14ac:dyDescent="0.25">
      <c r="A103" s="22" t="s">
        <v>466</v>
      </c>
      <c r="B103" s="22"/>
      <c r="C103" s="22"/>
      <c r="D103" s="22"/>
      <c r="E103" s="22"/>
      <c r="F103" s="22" t="s">
        <v>91</v>
      </c>
      <c r="G103" s="22"/>
      <c r="H103" s="22"/>
      <c r="I103" s="22"/>
      <c r="J103" s="22"/>
      <c r="K103" s="22"/>
      <c r="L103" s="22"/>
      <c r="M103" s="22"/>
      <c r="N103" s="22" t="s">
        <v>94</v>
      </c>
      <c r="O103" s="22"/>
      <c r="P103" s="22"/>
      <c r="Q103" s="22"/>
      <c r="R103" s="22"/>
      <c r="S103" s="22"/>
      <c r="T103" s="22" t="s">
        <v>97</v>
      </c>
      <c r="U103" s="22"/>
      <c r="V103" s="22"/>
      <c r="W103" s="22"/>
      <c r="X103" s="22"/>
      <c r="Y103" s="22"/>
      <c r="Z103" s="22"/>
      <c r="AA103" s="3"/>
      <c r="AB103" s="3" t="s">
        <v>99</v>
      </c>
      <c r="AC103" s="3"/>
    </row>
    <row r="104" spans="1:29" x14ac:dyDescent="0.25">
      <c r="A104" s="22" t="s">
        <v>89</v>
      </c>
      <c r="B104" s="22"/>
      <c r="C104" s="22"/>
      <c r="D104" s="22"/>
      <c r="E104" s="22"/>
      <c r="F104" s="22" t="s">
        <v>92</v>
      </c>
      <c r="G104" s="22"/>
      <c r="H104" s="22"/>
      <c r="I104" s="22"/>
      <c r="J104" s="22"/>
      <c r="K104" s="22"/>
      <c r="L104" s="22"/>
      <c r="M104" s="22"/>
      <c r="N104" s="22" t="s">
        <v>95</v>
      </c>
      <c r="O104" s="22"/>
      <c r="P104" s="22"/>
      <c r="Q104" s="22"/>
      <c r="R104" s="22"/>
      <c r="S104" s="22"/>
      <c r="T104" s="22" t="s">
        <v>98</v>
      </c>
      <c r="U104" s="22"/>
      <c r="V104" s="22"/>
      <c r="W104" s="22"/>
      <c r="X104" s="22"/>
      <c r="Y104" s="22"/>
      <c r="Z104" s="22"/>
    </row>
    <row r="107" spans="1:29" ht="15.6" x14ac:dyDescent="0.3">
      <c r="B107" s="15" t="s">
        <v>494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 t="s">
        <v>467</v>
      </c>
      <c r="N107" s="6"/>
      <c r="O107" s="6"/>
      <c r="P107" s="6"/>
      <c r="Q107" s="6"/>
      <c r="R107" s="6"/>
      <c r="S107" s="6"/>
      <c r="T107" s="6"/>
      <c r="U107" s="6"/>
      <c r="V107" s="6"/>
      <c r="W107" s="5"/>
      <c r="X107" s="6"/>
      <c r="Y107" s="6"/>
      <c r="Z107" s="6"/>
      <c r="AA107" s="5" t="s">
        <v>456</v>
      </c>
      <c r="AB107" s="6"/>
      <c r="AC107" s="6"/>
    </row>
    <row r="108" spans="1:29" ht="15.6" x14ac:dyDescent="0.3">
      <c r="B108" s="15" t="s">
        <v>81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/>
      <c r="X108" s="6"/>
      <c r="Y108" s="6"/>
      <c r="Z108" s="6"/>
      <c r="AA108" s="5" t="s">
        <v>100</v>
      </c>
      <c r="AB108" s="5"/>
      <c r="AC108" s="6"/>
    </row>
    <row r="109" spans="1:29" ht="15.6" x14ac:dyDescent="0.3">
      <c r="B109" s="15" t="s">
        <v>459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/>
      <c r="X109" s="6"/>
      <c r="Y109" s="6"/>
      <c r="Z109" s="6"/>
      <c r="AA109" s="5" t="s">
        <v>538</v>
      </c>
      <c r="AB109" s="5"/>
      <c r="AC109" s="6"/>
    </row>
    <row r="110" spans="1:29" ht="15.6" x14ac:dyDescent="0.3">
      <c r="B110" s="15" t="s">
        <v>460</v>
      </c>
      <c r="C110" s="6"/>
      <c r="D110" s="6"/>
      <c r="E110" s="6"/>
      <c r="F110" s="6"/>
      <c r="G110" s="6"/>
      <c r="H110" s="6"/>
      <c r="I110" s="6"/>
      <c r="J110" s="6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/>
      <c r="X110" s="6"/>
      <c r="Y110" s="6"/>
      <c r="Z110" s="6"/>
      <c r="AA110" s="5" t="s">
        <v>103</v>
      </c>
      <c r="AB110" s="5"/>
      <c r="AC110" s="6"/>
    </row>
    <row r="111" spans="1:29" ht="15.6" x14ac:dyDescent="0.3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/>
      <c r="X111" s="6"/>
      <c r="Y111" s="6"/>
      <c r="Z111" s="6"/>
      <c r="AA111" s="5" t="s">
        <v>422</v>
      </c>
      <c r="AB111" s="5"/>
      <c r="AC111" s="6"/>
    </row>
    <row r="112" spans="1:29" ht="15.6" x14ac:dyDescent="0.3">
      <c r="B112" s="6"/>
      <c r="C112" s="5" t="s">
        <v>482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/>
      <c r="X112" s="6"/>
      <c r="Y112" s="6"/>
      <c r="Z112" s="6"/>
      <c r="AA112" s="5"/>
      <c r="AB112" s="5"/>
      <c r="AC112" s="5"/>
    </row>
    <row r="113" spans="1:29" ht="15" customHeight="1" x14ac:dyDescent="0.3">
      <c r="A113" s="57" t="s">
        <v>0</v>
      </c>
      <c r="B113" s="66" t="s">
        <v>469</v>
      </c>
      <c r="C113" s="60" t="s">
        <v>458</v>
      </c>
      <c r="D113" s="61"/>
      <c r="E113" s="62"/>
      <c r="F113" s="60" t="s">
        <v>1</v>
      </c>
      <c r="G113" s="61"/>
      <c r="H113" s="62"/>
      <c r="I113" s="60" t="s">
        <v>2</v>
      </c>
      <c r="J113" s="61"/>
      <c r="K113" s="62"/>
      <c r="L113" s="60" t="s">
        <v>8</v>
      </c>
      <c r="M113" s="61"/>
      <c r="N113" s="62"/>
      <c r="O113" s="60" t="s">
        <v>3</v>
      </c>
      <c r="P113" s="61"/>
      <c r="Q113" s="62"/>
      <c r="R113" s="31"/>
      <c r="S113" s="31" t="s">
        <v>4</v>
      </c>
      <c r="T113" s="31"/>
      <c r="U113" s="60" t="s">
        <v>5</v>
      </c>
      <c r="V113" s="61"/>
      <c r="W113" s="62"/>
      <c r="X113" s="57" t="s">
        <v>16</v>
      </c>
      <c r="Y113" s="57" t="s">
        <v>17</v>
      </c>
      <c r="Z113" s="57" t="s">
        <v>18</v>
      </c>
      <c r="AA113" s="57" t="s">
        <v>19</v>
      </c>
      <c r="AB113" s="57" t="s">
        <v>20</v>
      </c>
      <c r="AC113" s="57" t="s">
        <v>21</v>
      </c>
    </row>
    <row r="114" spans="1:29" ht="55.2" x14ac:dyDescent="0.25">
      <c r="A114" s="58"/>
      <c r="B114" s="67"/>
      <c r="C114" s="32" t="s">
        <v>6</v>
      </c>
      <c r="D114" s="32" t="s">
        <v>461</v>
      </c>
      <c r="E114" s="32" t="s">
        <v>7</v>
      </c>
      <c r="F114" s="32" t="s">
        <v>6</v>
      </c>
      <c r="G114" s="32" t="s">
        <v>461</v>
      </c>
      <c r="H114" s="32" t="s">
        <v>7</v>
      </c>
      <c r="I114" s="32" t="s">
        <v>6</v>
      </c>
      <c r="J114" s="32" t="s">
        <v>461</v>
      </c>
      <c r="K114" s="32" t="s">
        <v>7</v>
      </c>
      <c r="L114" s="32" t="s">
        <v>6</v>
      </c>
      <c r="M114" s="32" t="s">
        <v>461</v>
      </c>
      <c r="N114" s="32" t="s">
        <v>7</v>
      </c>
      <c r="O114" s="32" t="s">
        <v>6</v>
      </c>
      <c r="P114" s="32" t="s">
        <v>461</v>
      </c>
      <c r="Q114" s="32" t="s">
        <v>7</v>
      </c>
      <c r="R114" s="32" t="s">
        <v>6</v>
      </c>
      <c r="S114" s="32" t="s">
        <v>461</v>
      </c>
      <c r="T114" s="32" t="s">
        <v>7</v>
      </c>
      <c r="U114" s="32" t="s">
        <v>6</v>
      </c>
      <c r="V114" s="32" t="s">
        <v>461</v>
      </c>
      <c r="W114" s="32" t="s">
        <v>7</v>
      </c>
      <c r="X114" s="58"/>
      <c r="Y114" s="58"/>
      <c r="Z114" s="58"/>
      <c r="AA114" s="58"/>
      <c r="AB114" s="58"/>
      <c r="AC114" s="58"/>
    </row>
    <row r="115" spans="1:29" ht="15.6" x14ac:dyDescent="0.3">
      <c r="A115" s="59"/>
      <c r="B115" s="68"/>
      <c r="C115" s="33">
        <v>50</v>
      </c>
      <c r="D115" s="33">
        <v>50</v>
      </c>
      <c r="E115" s="33">
        <v>100</v>
      </c>
      <c r="F115" s="33">
        <v>50</v>
      </c>
      <c r="G115" s="33">
        <v>50</v>
      </c>
      <c r="H115" s="33">
        <v>100</v>
      </c>
      <c r="I115" s="33">
        <v>50</v>
      </c>
      <c r="J115" s="33">
        <v>50</v>
      </c>
      <c r="K115" s="33">
        <v>100</v>
      </c>
      <c r="L115" s="33">
        <v>50</v>
      </c>
      <c r="M115" s="33">
        <v>50</v>
      </c>
      <c r="N115" s="33">
        <v>100</v>
      </c>
      <c r="O115" s="33">
        <v>50</v>
      </c>
      <c r="P115" s="33">
        <v>50</v>
      </c>
      <c r="Q115" s="33">
        <v>100</v>
      </c>
      <c r="R115" s="33">
        <v>50</v>
      </c>
      <c r="S115" s="33">
        <v>50</v>
      </c>
      <c r="T115" s="33">
        <v>100</v>
      </c>
      <c r="U115" s="33">
        <v>50</v>
      </c>
      <c r="V115" s="33">
        <v>50</v>
      </c>
      <c r="W115" s="33">
        <v>100</v>
      </c>
      <c r="X115" s="59"/>
      <c r="Y115" s="59"/>
      <c r="Z115" s="59"/>
      <c r="AA115" s="59"/>
      <c r="AB115" s="59"/>
      <c r="AC115" s="59"/>
    </row>
    <row r="116" spans="1:29" ht="15.6" x14ac:dyDescent="0.3">
      <c r="A116" s="26">
        <v>1</v>
      </c>
      <c r="B116" s="27" t="s">
        <v>273</v>
      </c>
      <c r="C116" s="26">
        <v>20</v>
      </c>
      <c r="D116" s="26">
        <v>30</v>
      </c>
      <c r="E116" s="33">
        <f t="shared" ref="E116:E117" si="33">SUM(C116:D116)</f>
        <v>50</v>
      </c>
      <c r="F116" s="26">
        <v>20</v>
      </c>
      <c r="G116" s="26">
        <v>30</v>
      </c>
      <c r="H116" s="33">
        <f t="shared" ref="H116:H117" si="34">SUM(F116:G116)</f>
        <v>50</v>
      </c>
      <c r="I116" s="26">
        <v>25</v>
      </c>
      <c r="J116" s="26">
        <v>24</v>
      </c>
      <c r="K116" s="33">
        <f t="shared" ref="K116:K117" si="35">SUM(I116:J116)</f>
        <v>49</v>
      </c>
      <c r="L116" s="26">
        <v>22</v>
      </c>
      <c r="M116" s="26">
        <v>11</v>
      </c>
      <c r="N116" s="33">
        <f t="shared" ref="N116:N117" si="36">SUM(L116:M116)</f>
        <v>33</v>
      </c>
      <c r="O116" s="26">
        <v>27</v>
      </c>
      <c r="P116" s="26">
        <v>25</v>
      </c>
      <c r="Q116" s="33">
        <f t="shared" ref="Q116:Q117" si="37">SUM(O116:P116)</f>
        <v>52</v>
      </c>
      <c r="R116" s="26">
        <v>11</v>
      </c>
      <c r="S116" s="26">
        <v>23</v>
      </c>
      <c r="T116" s="33">
        <f t="shared" ref="T116:T117" si="38">SUM(R116:S116)</f>
        <v>34</v>
      </c>
      <c r="U116" s="26">
        <v>11</v>
      </c>
      <c r="V116" s="26">
        <v>39</v>
      </c>
      <c r="W116" s="33">
        <f t="shared" ref="W116:W117" si="39">SUM(U116:V116)</f>
        <v>50</v>
      </c>
      <c r="X116" s="30"/>
      <c r="Y116" s="30"/>
      <c r="Z116" s="30"/>
      <c r="AA116" s="33">
        <f t="shared" ref="AA116:AA117" si="40">SUM(W116,T116,Q116,N116,K116,H116,E116)</f>
        <v>318</v>
      </c>
      <c r="AB116" s="26" t="s">
        <v>274</v>
      </c>
      <c r="AC116" s="28"/>
    </row>
    <row r="117" spans="1:29" ht="15.6" x14ac:dyDescent="0.3">
      <c r="A117" s="26">
        <v>2</v>
      </c>
      <c r="B117" s="27" t="s">
        <v>600</v>
      </c>
      <c r="C117" s="26">
        <v>20</v>
      </c>
      <c r="D117" s="26">
        <v>21</v>
      </c>
      <c r="E117" s="33">
        <f t="shared" si="33"/>
        <v>41</v>
      </c>
      <c r="F117" s="26">
        <v>16</v>
      </c>
      <c r="G117" s="26">
        <v>28</v>
      </c>
      <c r="H117" s="33">
        <f t="shared" si="34"/>
        <v>44</v>
      </c>
      <c r="I117" s="26">
        <v>25</v>
      </c>
      <c r="J117" s="26">
        <v>26</v>
      </c>
      <c r="K117" s="33">
        <f t="shared" si="35"/>
        <v>51</v>
      </c>
      <c r="L117" s="26">
        <v>25</v>
      </c>
      <c r="M117" s="26">
        <v>34</v>
      </c>
      <c r="N117" s="33">
        <f t="shared" si="36"/>
        <v>59</v>
      </c>
      <c r="O117" s="26">
        <v>44</v>
      </c>
      <c r="P117" s="26">
        <v>25</v>
      </c>
      <c r="Q117" s="33">
        <f t="shared" si="37"/>
        <v>69</v>
      </c>
      <c r="R117" s="26">
        <v>12</v>
      </c>
      <c r="S117" s="26">
        <v>23</v>
      </c>
      <c r="T117" s="33">
        <f t="shared" si="38"/>
        <v>35</v>
      </c>
      <c r="U117" s="26">
        <v>14</v>
      </c>
      <c r="V117" s="26">
        <v>36</v>
      </c>
      <c r="W117" s="33">
        <f t="shared" si="39"/>
        <v>50</v>
      </c>
      <c r="X117" s="30"/>
      <c r="Y117" s="30"/>
      <c r="Z117" s="30"/>
      <c r="AA117" s="33">
        <f t="shared" si="40"/>
        <v>349</v>
      </c>
      <c r="AB117" s="26" t="s">
        <v>274</v>
      </c>
      <c r="AC117" s="28"/>
    </row>
    <row r="118" spans="1:29" ht="15.6" x14ac:dyDescent="0.3">
      <c r="A118" s="26">
        <v>3</v>
      </c>
      <c r="B118" s="27" t="s">
        <v>275</v>
      </c>
      <c r="C118" s="26">
        <v>38</v>
      </c>
      <c r="D118" s="26">
        <v>20</v>
      </c>
      <c r="E118" s="33">
        <f>SUM(C118:D118)</f>
        <v>58</v>
      </c>
      <c r="F118" s="26"/>
      <c r="G118" s="26">
        <v>20</v>
      </c>
      <c r="H118" s="33">
        <f>SUM(G118)</f>
        <v>20</v>
      </c>
      <c r="I118" s="26"/>
      <c r="J118" s="26">
        <v>25</v>
      </c>
      <c r="K118" s="33">
        <f>SUM(J118)</f>
        <v>25</v>
      </c>
      <c r="L118" s="26">
        <v>31</v>
      </c>
      <c r="M118" s="26"/>
      <c r="N118" s="33">
        <f>SUM(L118:M118)</f>
        <v>31</v>
      </c>
      <c r="O118" s="26">
        <v>41</v>
      </c>
      <c r="P118" s="26"/>
      <c r="Q118" s="33">
        <f>SUM(O118:P118)</f>
        <v>41</v>
      </c>
      <c r="R118" s="26"/>
      <c r="S118" s="26">
        <v>13</v>
      </c>
      <c r="T118" s="33">
        <f>SUM(S118)</f>
        <v>13</v>
      </c>
      <c r="U118" s="26">
        <v>14</v>
      </c>
      <c r="V118" s="26">
        <v>17</v>
      </c>
      <c r="W118" s="33">
        <f>SUM(U118:V118)</f>
        <v>31</v>
      </c>
      <c r="X118" s="30"/>
      <c r="Y118" s="30"/>
      <c r="Z118" s="30"/>
      <c r="AA118" s="33">
        <f>SUM(W118,T118,Q118,N118,K118,H118,E118)</f>
        <v>219</v>
      </c>
      <c r="AB118" s="26" t="s">
        <v>105</v>
      </c>
      <c r="AC118" s="28"/>
    </row>
    <row r="119" spans="1:29" ht="15.6" x14ac:dyDescent="0.3">
      <c r="A119" s="26">
        <v>4</v>
      </c>
      <c r="B119" s="27" t="s">
        <v>508</v>
      </c>
      <c r="C119" s="26">
        <v>20</v>
      </c>
      <c r="D119" s="26">
        <v>25</v>
      </c>
      <c r="E119" s="33">
        <f>SUM(C119:D119)</f>
        <v>45</v>
      </c>
      <c r="F119" s="26">
        <v>19</v>
      </c>
      <c r="G119" s="26">
        <v>14</v>
      </c>
      <c r="H119" s="33">
        <f>SUM(F119:G119)</f>
        <v>33</v>
      </c>
      <c r="I119" s="26">
        <v>26</v>
      </c>
      <c r="J119" s="26">
        <v>27</v>
      </c>
      <c r="K119" s="33">
        <f>SUM(I119:J119)</f>
        <v>53</v>
      </c>
      <c r="L119" s="26">
        <v>22</v>
      </c>
      <c r="M119" s="26">
        <v>10</v>
      </c>
      <c r="N119" s="33">
        <f>SUM(L119:M119)</f>
        <v>32</v>
      </c>
      <c r="O119" s="26">
        <v>25</v>
      </c>
      <c r="P119" s="26">
        <v>25</v>
      </c>
      <c r="Q119" s="33">
        <f>SUM(O119:P119)</f>
        <v>50</v>
      </c>
      <c r="R119" s="26">
        <v>13</v>
      </c>
      <c r="S119" s="26">
        <v>10</v>
      </c>
      <c r="T119" s="33">
        <f>SUM(R119:S119)</f>
        <v>23</v>
      </c>
      <c r="U119" s="26">
        <v>11</v>
      </c>
      <c r="V119" s="26">
        <v>16</v>
      </c>
      <c r="W119" s="33">
        <f>SUM(U119:V119)</f>
        <v>27</v>
      </c>
      <c r="X119" s="30"/>
      <c r="Y119" s="30"/>
      <c r="Z119" s="30"/>
      <c r="AA119" s="33">
        <f>SUM(W119,T119,Q119,N119,K119,H119,E119)</f>
        <v>263</v>
      </c>
      <c r="AB119" s="26" t="s">
        <v>274</v>
      </c>
      <c r="AC119" s="28"/>
    </row>
    <row r="120" spans="1:29" ht="15.6" x14ac:dyDescent="0.3">
      <c r="A120" s="26">
        <v>5</v>
      </c>
      <c r="B120" s="27" t="s">
        <v>269</v>
      </c>
      <c r="C120" s="26">
        <v>21</v>
      </c>
      <c r="D120" s="26"/>
      <c r="E120" s="33">
        <f t="shared" ref="E120" si="41">SUM(C120:D120)</f>
        <v>21</v>
      </c>
      <c r="F120" s="26">
        <v>22</v>
      </c>
      <c r="G120" s="26"/>
      <c r="H120" s="33">
        <f t="shared" ref="H120" si="42">SUM(F120:G120)</f>
        <v>22</v>
      </c>
      <c r="I120" s="26">
        <v>28</v>
      </c>
      <c r="J120" s="26"/>
      <c r="K120" s="33">
        <f t="shared" ref="K120" si="43">SUM(I120:J120)</f>
        <v>28</v>
      </c>
      <c r="L120" s="26">
        <v>25</v>
      </c>
      <c r="M120" s="26"/>
      <c r="N120" s="33">
        <f t="shared" ref="N120" si="44">SUM(L120:M120)</f>
        <v>25</v>
      </c>
      <c r="O120" s="26">
        <v>23</v>
      </c>
      <c r="P120" s="26"/>
      <c r="Q120" s="33">
        <f t="shared" ref="Q120" si="45">SUM(O120:P120)</f>
        <v>23</v>
      </c>
      <c r="R120" s="26">
        <v>11</v>
      </c>
      <c r="S120" s="26"/>
      <c r="T120" s="33">
        <f t="shared" ref="T120" si="46">SUM(R120:S120)</f>
        <v>11</v>
      </c>
      <c r="U120" s="26">
        <v>19</v>
      </c>
      <c r="V120" s="26"/>
      <c r="W120" s="33">
        <f t="shared" ref="W120" si="47">SUM(U120:V120)</f>
        <v>19</v>
      </c>
      <c r="X120" s="30"/>
      <c r="Y120" s="30"/>
      <c r="Z120" s="30"/>
      <c r="AA120" s="33">
        <f>SUM(W120,T120,Q120,N120,K120,H120,E120)</f>
        <v>149</v>
      </c>
      <c r="AB120" s="26" t="s">
        <v>105</v>
      </c>
      <c r="AC120" s="28"/>
    </row>
    <row r="121" spans="1:29" ht="15.6" x14ac:dyDescent="0.3">
      <c r="A121" s="26">
        <v>6</v>
      </c>
      <c r="B121" s="27"/>
      <c r="C121" s="26"/>
      <c r="D121" s="26"/>
      <c r="E121" s="33"/>
      <c r="F121" s="26"/>
      <c r="G121" s="26"/>
      <c r="H121" s="33"/>
      <c r="I121" s="26"/>
      <c r="J121" s="26"/>
      <c r="K121" s="33"/>
      <c r="L121" s="26"/>
      <c r="M121" s="26"/>
      <c r="N121" s="33"/>
      <c r="O121" s="26"/>
      <c r="P121" s="26"/>
      <c r="Q121" s="33"/>
      <c r="R121" s="26"/>
      <c r="S121" s="26"/>
      <c r="T121" s="33"/>
      <c r="U121" s="26"/>
      <c r="V121" s="26"/>
      <c r="W121" s="33"/>
      <c r="X121" s="30"/>
      <c r="Y121" s="30"/>
      <c r="Z121" s="30"/>
      <c r="AA121" s="33"/>
      <c r="AB121" s="26"/>
      <c r="AC121" s="28"/>
    </row>
    <row r="122" spans="1:29" ht="15.6" x14ac:dyDescent="0.3">
      <c r="A122" s="26">
        <v>7</v>
      </c>
      <c r="B122" s="27"/>
      <c r="C122" s="26"/>
      <c r="D122" s="26"/>
      <c r="E122" s="33"/>
      <c r="F122" s="26"/>
      <c r="G122" s="26"/>
      <c r="H122" s="33"/>
      <c r="I122" s="26"/>
      <c r="J122" s="26"/>
      <c r="K122" s="33"/>
      <c r="L122" s="26"/>
      <c r="M122" s="26"/>
      <c r="N122" s="33"/>
      <c r="O122" s="26"/>
      <c r="P122" s="26"/>
      <c r="Q122" s="33"/>
      <c r="R122" s="26"/>
      <c r="S122" s="26"/>
      <c r="T122" s="33"/>
      <c r="U122" s="26"/>
      <c r="V122" s="26"/>
      <c r="W122" s="33"/>
      <c r="X122" s="30"/>
      <c r="Y122" s="30"/>
      <c r="Z122" s="30"/>
      <c r="AA122" s="33"/>
      <c r="AB122" s="26"/>
      <c r="AC122" s="28"/>
    </row>
    <row r="123" spans="1:29" ht="15.6" x14ac:dyDescent="0.3">
      <c r="A123" s="26">
        <v>8</v>
      </c>
      <c r="B123" s="27"/>
      <c r="C123" s="26"/>
      <c r="D123" s="26"/>
      <c r="E123" s="33"/>
      <c r="F123" s="26"/>
      <c r="G123" s="26"/>
      <c r="H123" s="33"/>
      <c r="I123" s="26"/>
      <c r="J123" s="26"/>
      <c r="K123" s="33"/>
      <c r="L123" s="26"/>
      <c r="M123" s="26"/>
      <c r="N123" s="33"/>
      <c r="O123" s="26"/>
      <c r="P123" s="26"/>
      <c r="Q123" s="33"/>
      <c r="R123" s="26"/>
      <c r="S123" s="26"/>
      <c r="T123" s="33"/>
      <c r="U123" s="26"/>
      <c r="V123" s="26"/>
      <c r="W123" s="33"/>
      <c r="X123" s="30"/>
      <c r="Y123" s="30"/>
      <c r="Z123" s="30"/>
      <c r="AA123" s="33"/>
      <c r="AB123" s="26"/>
      <c r="AC123" s="28"/>
    </row>
    <row r="124" spans="1:29" ht="15.6" x14ac:dyDescent="0.3">
      <c r="A124" s="26">
        <v>9</v>
      </c>
      <c r="B124" s="27"/>
      <c r="C124" s="26"/>
      <c r="D124" s="26"/>
      <c r="E124" s="33"/>
      <c r="F124" s="26"/>
      <c r="G124" s="26"/>
      <c r="H124" s="33"/>
      <c r="I124" s="26"/>
      <c r="J124" s="26"/>
      <c r="K124" s="33"/>
      <c r="L124" s="26"/>
      <c r="M124" s="26"/>
      <c r="N124" s="33"/>
      <c r="O124" s="26"/>
      <c r="P124" s="26"/>
      <c r="Q124" s="33"/>
      <c r="R124" s="26"/>
      <c r="S124" s="26"/>
      <c r="T124" s="33"/>
      <c r="U124" s="26"/>
      <c r="V124" s="26"/>
      <c r="W124" s="33"/>
      <c r="X124" s="30"/>
      <c r="Y124" s="30"/>
      <c r="Z124" s="30"/>
      <c r="AA124" s="33"/>
      <c r="AB124" s="26"/>
      <c r="AC124" s="28"/>
    </row>
    <row r="125" spans="1:29" ht="15.6" x14ac:dyDescent="0.3">
      <c r="A125" s="26">
        <v>10</v>
      </c>
      <c r="B125" s="26"/>
      <c r="C125" s="26"/>
      <c r="D125" s="26"/>
      <c r="E125" s="33"/>
      <c r="F125" s="26"/>
      <c r="G125" s="26"/>
      <c r="H125" s="33"/>
      <c r="I125" s="26"/>
      <c r="J125" s="26"/>
      <c r="K125" s="33"/>
      <c r="L125" s="26"/>
      <c r="M125" s="26"/>
      <c r="N125" s="33"/>
      <c r="O125" s="26"/>
      <c r="P125" s="26"/>
      <c r="Q125" s="33"/>
      <c r="R125" s="26"/>
      <c r="S125" s="26"/>
      <c r="T125" s="33"/>
      <c r="U125" s="26"/>
      <c r="V125" s="26"/>
      <c r="W125" s="33"/>
      <c r="X125" s="30"/>
      <c r="Y125" s="30"/>
      <c r="Z125" s="30"/>
      <c r="AA125" s="33"/>
      <c r="AB125" s="26"/>
      <c r="AC125" s="28"/>
    </row>
    <row r="126" spans="1:29" ht="15.6" x14ac:dyDescent="0.3">
      <c r="A126" s="26">
        <v>11</v>
      </c>
      <c r="B126" s="27"/>
      <c r="C126" s="26"/>
      <c r="D126" s="26"/>
      <c r="E126" s="33"/>
      <c r="F126" s="26"/>
      <c r="G126" s="26"/>
      <c r="H126" s="33"/>
      <c r="I126" s="26"/>
      <c r="J126" s="26"/>
      <c r="K126" s="33"/>
      <c r="L126" s="26"/>
      <c r="M126" s="26"/>
      <c r="N126" s="33"/>
      <c r="O126" s="26"/>
      <c r="P126" s="26"/>
      <c r="Q126" s="33"/>
      <c r="R126" s="26"/>
      <c r="S126" s="26"/>
      <c r="T126" s="33"/>
      <c r="U126" s="26"/>
      <c r="V126" s="26"/>
      <c r="W126" s="33"/>
      <c r="X126" s="30"/>
      <c r="Y126" s="30"/>
      <c r="Z126" s="30"/>
      <c r="AA126" s="33"/>
      <c r="AB126" s="26"/>
      <c r="AC126" s="28"/>
    </row>
    <row r="127" spans="1:29" ht="15.6" x14ac:dyDescent="0.3">
      <c r="A127" s="26">
        <v>12</v>
      </c>
      <c r="B127" s="27"/>
      <c r="C127" s="26"/>
      <c r="D127" s="26"/>
      <c r="E127" s="33"/>
      <c r="F127" s="26"/>
      <c r="G127" s="26"/>
      <c r="H127" s="33"/>
      <c r="I127" s="26"/>
      <c r="J127" s="26"/>
      <c r="K127" s="33"/>
      <c r="L127" s="26"/>
      <c r="M127" s="26"/>
      <c r="N127" s="33"/>
      <c r="O127" s="26"/>
      <c r="P127" s="26"/>
      <c r="Q127" s="33"/>
      <c r="R127" s="26"/>
      <c r="S127" s="26"/>
      <c r="T127" s="33"/>
      <c r="U127" s="26"/>
      <c r="V127" s="26"/>
      <c r="W127" s="33"/>
      <c r="X127" s="30"/>
      <c r="Y127" s="30"/>
      <c r="Z127" s="30"/>
      <c r="AA127" s="33"/>
      <c r="AB127" s="26"/>
      <c r="AC127" s="28"/>
    </row>
    <row r="128" spans="1:29" ht="15.6" x14ac:dyDescent="0.3">
      <c r="A128" s="26">
        <v>13</v>
      </c>
      <c r="B128" s="27"/>
      <c r="C128" s="26"/>
      <c r="D128" s="26"/>
      <c r="E128" s="33"/>
      <c r="F128" s="26"/>
      <c r="G128" s="26"/>
      <c r="H128" s="33"/>
      <c r="I128" s="26"/>
      <c r="J128" s="26"/>
      <c r="K128" s="33"/>
      <c r="L128" s="26"/>
      <c r="M128" s="26"/>
      <c r="N128" s="33"/>
      <c r="O128" s="26"/>
      <c r="P128" s="26"/>
      <c r="Q128" s="33"/>
      <c r="R128" s="26"/>
      <c r="S128" s="26"/>
      <c r="T128" s="33"/>
      <c r="U128" s="26"/>
      <c r="V128" s="26"/>
      <c r="W128" s="33"/>
      <c r="X128" s="30"/>
      <c r="Y128" s="30"/>
      <c r="Z128" s="30"/>
      <c r="AA128" s="33"/>
      <c r="AB128" s="26"/>
      <c r="AC128" s="28"/>
    </row>
    <row r="129" spans="1:29" ht="15.6" x14ac:dyDescent="0.3">
      <c r="A129" s="26">
        <v>14</v>
      </c>
      <c r="B129" s="27"/>
      <c r="C129" s="26"/>
      <c r="D129" s="26"/>
      <c r="E129" s="33"/>
      <c r="F129" s="26"/>
      <c r="G129" s="26"/>
      <c r="H129" s="33"/>
      <c r="I129" s="26"/>
      <c r="J129" s="26"/>
      <c r="K129" s="33"/>
      <c r="L129" s="26"/>
      <c r="M129" s="26"/>
      <c r="N129" s="33"/>
      <c r="O129" s="26"/>
      <c r="P129" s="26"/>
      <c r="Q129" s="33"/>
      <c r="R129" s="26"/>
      <c r="S129" s="26"/>
      <c r="T129" s="33"/>
      <c r="U129" s="26"/>
      <c r="V129" s="26"/>
      <c r="W129" s="33"/>
      <c r="X129" s="30"/>
      <c r="Y129" s="30"/>
      <c r="Z129" s="30"/>
      <c r="AA129" s="33"/>
      <c r="AB129" s="26"/>
      <c r="AC129" s="28"/>
    </row>
    <row r="130" spans="1:29" ht="15.6" x14ac:dyDescent="0.3">
      <c r="A130" s="26">
        <v>15</v>
      </c>
      <c r="B130" s="27"/>
      <c r="C130" s="26"/>
      <c r="D130" s="26"/>
      <c r="E130" s="33"/>
      <c r="F130" s="26"/>
      <c r="G130" s="26"/>
      <c r="H130" s="33"/>
      <c r="I130" s="26"/>
      <c r="J130" s="26"/>
      <c r="K130" s="33"/>
      <c r="L130" s="26"/>
      <c r="M130" s="26"/>
      <c r="N130" s="33"/>
      <c r="O130" s="26"/>
      <c r="P130" s="26"/>
      <c r="Q130" s="33"/>
      <c r="R130" s="26"/>
      <c r="S130" s="26"/>
      <c r="T130" s="33"/>
      <c r="U130" s="26"/>
      <c r="V130" s="26"/>
      <c r="W130" s="33"/>
      <c r="X130" s="30"/>
      <c r="Y130" s="30"/>
      <c r="Z130" s="30"/>
      <c r="AA130" s="33"/>
      <c r="AB130" s="26"/>
      <c r="AC130" s="28"/>
    </row>
    <row r="131" spans="1:29" ht="15.6" x14ac:dyDescent="0.3">
      <c r="A131" s="26">
        <v>16</v>
      </c>
      <c r="B131" s="27"/>
      <c r="C131" s="26"/>
      <c r="D131" s="26"/>
      <c r="E131" s="33"/>
      <c r="F131" s="26"/>
      <c r="G131" s="26"/>
      <c r="H131" s="33"/>
      <c r="I131" s="26"/>
      <c r="J131" s="26"/>
      <c r="K131" s="33"/>
      <c r="L131" s="26"/>
      <c r="M131" s="26"/>
      <c r="N131" s="33"/>
      <c r="O131" s="26"/>
      <c r="P131" s="26"/>
      <c r="Q131" s="33"/>
      <c r="R131" s="26"/>
      <c r="S131" s="26"/>
      <c r="T131" s="33"/>
      <c r="U131" s="26"/>
      <c r="V131" s="26"/>
      <c r="W131" s="33"/>
      <c r="X131" s="30"/>
      <c r="Y131" s="30"/>
      <c r="Z131" s="30"/>
      <c r="AA131" s="33"/>
      <c r="AB131" s="26"/>
      <c r="AC131" s="28"/>
    </row>
    <row r="132" spans="1:29" ht="15.6" x14ac:dyDescent="0.3">
      <c r="A132" s="26">
        <v>17</v>
      </c>
      <c r="B132" s="27"/>
      <c r="C132" s="26"/>
      <c r="D132" s="26"/>
      <c r="E132" s="33"/>
      <c r="F132" s="26"/>
      <c r="G132" s="26"/>
      <c r="H132" s="33"/>
      <c r="I132" s="26"/>
      <c r="J132" s="26"/>
      <c r="K132" s="33"/>
      <c r="L132" s="26"/>
      <c r="M132" s="26"/>
      <c r="N132" s="33"/>
      <c r="O132" s="26"/>
      <c r="P132" s="26"/>
      <c r="Q132" s="33"/>
      <c r="R132" s="26"/>
      <c r="S132" s="26"/>
      <c r="T132" s="33"/>
      <c r="U132" s="26"/>
      <c r="V132" s="26"/>
      <c r="W132" s="33"/>
      <c r="X132" s="30"/>
      <c r="Y132" s="30"/>
      <c r="Z132" s="30"/>
      <c r="AA132" s="33"/>
      <c r="AB132" s="26"/>
      <c r="AC132" s="28"/>
    </row>
    <row r="133" spans="1:29" ht="15.6" x14ac:dyDescent="0.3">
      <c r="A133" s="26">
        <v>18</v>
      </c>
      <c r="B133" s="27"/>
      <c r="C133" s="26"/>
      <c r="D133" s="26"/>
      <c r="E133" s="33"/>
      <c r="F133" s="26"/>
      <c r="G133" s="26"/>
      <c r="H133" s="33"/>
      <c r="I133" s="26"/>
      <c r="J133" s="26"/>
      <c r="K133" s="33"/>
      <c r="L133" s="26"/>
      <c r="M133" s="26"/>
      <c r="N133" s="33"/>
      <c r="O133" s="26"/>
      <c r="P133" s="26"/>
      <c r="Q133" s="33"/>
      <c r="R133" s="26"/>
      <c r="S133" s="26"/>
      <c r="T133" s="33"/>
      <c r="U133" s="26"/>
      <c r="V133" s="26"/>
      <c r="W133" s="33"/>
      <c r="X133" s="30"/>
      <c r="Y133" s="30"/>
      <c r="Z133" s="30"/>
      <c r="AA133" s="33"/>
      <c r="AB133" s="26"/>
      <c r="AC133" s="28"/>
    </row>
    <row r="134" spans="1:29" ht="15.6" x14ac:dyDescent="0.3">
      <c r="A134" s="26">
        <v>19</v>
      </c>
      <c r="B134" s="27"/>
      <c r="C134" s="26"/>
      <c r="D134" s="26"/>
      <c r="E134" s="33"/>
      <c r="F134" s="26"/>
      <c r="G134" s="26"/>
      <c r="H134" s="33"/>
      <c r="I134" s="26"/>
      <c r="J134" s="26"/>
      <c r="K134" s="33"/>
      <c r="L134" s="26"/>
      <c r="M134" s="26"/>
      <c r="N134" s="33"/>
      <c r="O134" s="26"/>
      <c r="P134" s="26"/>
      <c r="Q134" s="33"/>
      <c r="R134" s="26"/>
      <c r="S134" s="26"/>
      <c r="T134" s="33"/>
      <c r="U134" s="26"/>
      <c r="V134" s="26"/>
      <c r="W134" s="33"/>
      <c r="X134" s="30"/>
      <c r="Y134" s="30"/>
      <c r="Z134" s="30"/>
      <c r="AA134" s="33"/>
      <c r="AB134" s="26"/>
      <c r="AC134" s="28"/>
    </row>
    <row r="135" spans="1:29" ht="15.6" x14ac:dyDescent="0.3">
      <c r="A135" s="26">
        <v>20</v>
      </c>
      <c r="B135" s="27"/>
      <c r="C135" s="26"/>
      <c r="D135" s="26"/>
      <c r="E135" s="33"/>
      <c r="F135" s="26"/>
      <c r="G135" s="26"/>
      <c r="H135" s="33"/>
      <c r="I135" s="26"/>
      <c r="J135" s="26"/>
      <c r="K135" s="33"/>
      <c r="L135" s="26"/>
      <c r="M135" s="26"/>
      <c r="N135" s="33"/>
      <c r="O135" s="26"/>
      <c r="P135" s="26"/>
      <c r="Q135" s="33"/>
      <c r="R135" s="26"/>
      <c r="S135" s="26"/>
      <c r="T135" s="33"/>
      <c r="U135" s="26"/>
      <c r="V135" s="26"/>
      <c r="W135" s="33"/>
      <c r="X135" s="30"/>
      <c r="Y135" s="30"/>
      <c r="Z135" s="30"/>
      <c r="AA135" s="33"/>
      <c r="AB135" s="26"/>
      <c r="AC135" s="28"/>
    </row>
    <row r="136" spans="1:29" ht="15.6" x14ac:dyDescent="0.3">
      <c r="A136" s="3" t="s">
        <v>246</v>
      </c>
      <c r="B136" s="11"/>
      <c r="C136" s="8"/>
      <c r="D136" s="8"/>
      <c r="E136" s="8"/>
      <c r="F136" s="22"/>
      <c r="G136" s="22" t="s">
        <v>468</v>
      </c>
      <c r="H136" s="22"/>
      <c r="I136" s="22"/>
      <c r="J136" s="22"/>
      <c r="K136" s="22"/>
      <c r="L136" s="22"/>
      <c r="M136" s="22"/>
      <c r="N136" s="22"/>
      <c r="O136" s="22" t="s">
        <v>82</v>
      </c>
      <c r="P136" s="22"/>
      <c r="Q136" s="22"/>
      <c r="R136" s="22"/>
      <c r="S136" s="22"/>
      <c r="T136" s="22"/>
      <c r="U136" s="22" t="s">
        <v>83</v>
      </c>
      <c r="V136" s="22"/>
      <c r="W136" s="22"/>
      <c r="X136" s="22"/>
      <c r="Y136" s="22"/>
      <c r="Z136" s="22"/>
      <c r="AA136" s="7"/>
      <c r="AB136" s="5" t="s">
        <v>84</v>
      </c>
      <c r="AC136" s="5"/>
    </row>
    <row r="137" spans="1:29" x14ac:dyDescent="0.25">
      <c r="A137" s="22" t="s">
        <v>89</v>
      </c>
      <c r="B137" s="22"/>
      <c r="C137" s="22"/>
      <c r="D137" s="22"/>
      <c r="E137" s="22"/>
      <c r="F137" s="22" t="s">
        <v>90</v>
      </c>
      <c r="G137" s="22"/>
      <c r="H137" s="22"/>
      <c r="I137" s="22"/>
      <c r="J137" s="22"/>
      <c r="K137" s="22"/>
      <c r="L137" s="22"/>
      <c r="M137" s="22"/>
      <c r="N137" s="22" t="s">
        <v>462</v>
      </c>
      <c r="O137" s="22"/>
      <c r="P137" s="22"/>
      <c r="Q137" s="22"/>
      <c r="R137" s="22"/>
      <c r="S137" s="22"/>
      <c r="T137" s="22" t="s">
        <v>463</v>
      </c>
      <c r="U137" s="22"/>
      <c r="V137" s="22"/>
      <c r="W137" s="22"/>
      <c r="X137" s="22"/>
      <c r="Y137" s="22"/>
      <c r="Z137" s="3"/>
      <c r="AA137" s="3"/>
      <c r="AB137" s="3" t="s">
        <v>85</v>
      </c>
      <c r="AC137" s="3"/>
    </row>
    <row r="138" spans="1:29" x14ac:dyDescent="0.25">
      <c r="A138" s="22" t="s">
        <v>466</v>
      </c>
      <c r="B138" s="22"/>
      <c r="C138" s="22"/>
      <c r="D138" s="22"/>
      <c r="E138" s="22"/>
      <c r="F138" s="22" t="s">
        <v>91</v>
      </c>
      <c r="G138" s="22"/>
      <c r="H138" s="22"/>
      <c r="I138" s="22"/>
      <c r="J138" s="22"/>
      <c r="K138" s="22"/>
      <c r="L138" s="22"/>
      <c r="M138" s="22"/>
      <c r="N138" s="22" t="s">
        <v>94</v>
      </c>
      <c r="O138" s="22"/>
      <c r="P138" s="22"/>
      <c r="Q138" s="22"/>
      <c r="R138" s="22"/>
      <c r="S138" s="22"/>
      <c r="T138" s="22" t="s">
        <v>97</v>
      </c>
      <c r="U138" s="22"/>
      <c r="V138" s="22"/>
      <c r="W138" s="22"/>
      <c r="X138" s="22"/>
      <c r="Y138" s="22"/>
      <c r="Z138" s="3"/>
      <c r="AA138" s="3"/>
      <c r="AB138" s="3" t="s">
        <v>99</v>
      </c>
      <c r="AC138" s="3"/>
    </row>
    <row r="139" spans="1:29" x14ac:dyDescent="0.25">
      <c r="A139" s="22" t="s">
        <v>89</v>
      </c>
      <c r="B139" s="22"/>
      <c r="C139" s="22"/>
      <c r="D139" s="22"/>
      <c r="E139" s="22"/>
      <c r="F139" s="22" t="s">
        <v>92</v>
      </c>
      <c r="G139" s="22"/>
      <c r="H139" s="22"/>
      <c r="I139" s="22"/>
      <c r="J139" s="22"/>
      <c r="K139" s="22"/>
      <c r="L139" s="22"/>
      <c r="M139" s="22"/>
      <c r="N139" s="22" t="s">
        <v>95</v>
      </c>
      <c r="O139" s="22"/>
      <c r="P139" s="22"/>
      <c r="Q139" s="22"/>
      <c r="R139" s="22"/>
      <c r="S139" s="22"/>
      <c r="T139" s="22" t="s">
        <v>98</v>
      </c>
      <c r="U139" s="22"/>
      <c r="V139" s="22"/>
      <c r="W139" s="22"/>
      <c r="X139" s="22"/>
      <c r="Y139" s="22"/>
      <c r="Z139" s="3"/>
    </row>
    <row r="142" spans="1:29" ht="15.6" x14ac:dyDescent="0.3">
      <c r="A142" s="6"/>
      <c r="B142" s="15" t="s">
        <v>494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 t="s">
        <v>467</v>
      </c>
      <c r="N142" s="6"/>
      <c r="O142" s="6"/>
      <c r="P142" s="6"/>
      <c r="Q142" s="6"/>
      <c r="R142" s="6"/>
      <c r="S142" s="6"/>
      <c r="T142" s="6"/>
      <c r="U142" s="6"/>
      <c r="V142" s="6"/>
      <c r="W142" s="5"/>
      <c r="X142" s="6"/>
      <c r="Y142" s="6"/>
      <c r="Z142" s="6"/>
      <c r="AA142" s="5" t="s">
        <v>456</v>
      </c>
      <c r="AB142" s="6"/>
      <c r="AC142" s="6"/>
    </row>
    <row r="143" spans="1:29" ht="15.6" x14ac:dyDescent="0.3">
      <c r="A143" s="6"/>
      <c r="B143" s="15" t="s">
        <v>81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5"/>
      <c r="X143" s="6"/>
      <c r="Y143" s="6"/>
      <c r="Z143" s="6"/>
      <c r="AA143" s="5" t="s">
        <v>100</v>
      </c>
      <c r="AB143" s="5"/>
      <c r="AC143" s="6"/>
    </row>
    <row r="144" spans="1:29" ht="15.6" x14ac:dyDescent="0.3">
      <c r="A144" s="6"/>
      <c r="B144" s="15" t="s">
        <v>459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5"/>
      <c r="X144" s="6"/>
      <c r="Y144" s="6"/>
      <c r="Z144" s="6"/>
      <c r="AA144" s="5" t="s">
        <v>247</v>
      </c>
      <c r="AB144" s="5"/>
      <c r="AC144" s="6"/>
    </row>
    <row r="145" spans="1:29" ht="15.6" x14ac:dyDescent="0.3">
      <c r="A145" s="6"/>
      <c r="B145" s="15" t="s">
        <v>460</v>
      </c>
      <c r="C145" s="6"/>
      <c r="D145" s="6"/>
      <c r="E145" s="6"/>
      <c r="F145" s="6"/>
      <c r="G145" s="6"/>
      <c r="H145" s="6"/>
      <c r="I145" s="6"/>
      <c r="J145" s="6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/>
      <c r="X145" s="6"/>
      <c r="Y145" s="6"/>
      <c r="Z145" s="6"/>
      <c r="AA145" s="5" t="s">
        <v>516</v>
      </c>
      <c r="AB145" s="5"/>
      <c r="AC145" s="6"/>
    </row>
    <row r="146" spans="1:29" ht="15.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/>
      <c r="X146" s="6"/>
      <c r="Y146" s="6"/>
      <c r="Z146" s="6"/>
      <c r="AA146" s="5" t="s">
        <v>104</v>
      </c>
      <c r="AB146" s="5"/>
      <c r="AC146" s="6"/>
    </row>
    <row r="147" spans="1:29" ht="15.6" x14ac:dyDescent="0.3">
      <c r="A147" s="6"/>
      <c r="B147" s="6"/>
      <c r="C147" s="5" t="s">
        <v>482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/>
      <c r="X147" s="6"/>
      <c r="Y147" s="6"/>
      <c r="Z147" s="6"/>
      <c r="AA147" s="5"/>
      <c r="AB147" s="5"/>
      <c r="AC147" s="5"/>
    </row>
    <row r="148" spans="1:29" ht="15.6" x14ac:dyDescent="0.3">
      <c r="A148" s="57" t="s">
        <v>0</v>
      </c>
      <c r="B148" s="66" t="s">
        <v>469</v>
      </c>
      <c r="C148" s="60" t="s">
        <v>458</v>
      </c>
      <c r="D148" s="61"/>
      <c r="E148" s="62"/>
      <c r="F148" s="60" t="s">
        <v>1</v>
      </c>
      <c r="G148" s="61"/>
      <c r="H148" s="62"/>
      <c r="I148" s="60" t="s">
        <v>2</v>
      </c>
      <c r="J148" s="61"/>
      <c r="K148" s="62"/>
      <c r="L148" s="60" t="s">
        <v>8</v>
      </c>
      <c r="M148" s="61"/>
      <c r="N148" s="62"/>
      <c r="O148" s="60" t="s">
        <v>3</v>
      </c>
      <c r="P148" s="61"/>
      <c r="Q148" s="62"/>
      <c r="R148" s="31"/>
      <c r="S148" s="31" t="s">
        <v>4</v>
      </c>
      <c r="T148" s="31"/>
      <c r="U148" s="60" t="s">
        <v>5</v>
      </c>
      <c r="V148" s="61"/>
      <c r="W148" s="62"/>
      <c r="X148" s="57" t="s">
        <v>16</v>
      </c>
      <c r="Y148" s="57" t="s">
        <v>17</v>
      </c>
      <c r="Z148" s="57" t="s">
        <v>18</v>
      </c>
      <c r="AA148" s="57" t="s">
        <v>19</v>
      </c>
      <c r="AB148" s="57" t="s">
        <v>20</v>
      </c>
      <c r="AC148" s="57" t="s">
        <v>21</v>
      </c>
    </row>
    <row r="149" spans="1:29" ht="55.2" x14ac:dyDescent="0.25">
      <c r="A149" s="58"/>
      <c r="B149" s="67"/>
      <c r="C149" s="32" t="s">
        <v>6</v>
      </c>
      <c r="D149" s="32" t="s">
        <v>461</v>
      </c>
      <c r="E149" s="32" t="s">
        <v>7</v>
      </c>
      <c r="F149" s="32" t="s">
        <v>6</v>
      </c>
      <c r="G149" s="32" t="s">
        <v>461</v>
      </c>
      <c r="H149" s="32" t="s">
        <v>7</v>
      </c>
      <c r="I149" s="32" t="s">
        <v>6</v>
      </c>
      <c r="J149" s="32" t="s">
        <v>461</v>
      </c>
      <c r="K149" s="32" t="s">
        <v>7</v>
      </c>
      <c r="L149" s="32" t="s">
        <v>6</v>
      </c>
      <c r="M149" s="32" t="s">
        <v>461</v>
      </c>
      <c r="N149" s="32" t="s">
        <v>7</v>
      </c>
      <c r="O149" s="32" t="s">
        <v>6</v>
      </c>
      <c r="P149" s="32" t="s">
        <v>461</v>
      </c>
      <c r="Q149" s="32" t="s">
        <v>7</v>
      </c>
      <c r="R149" s="32" t="s">
        <v>6</v>
      </c>
      <c r="S149" s="32" t="s">
        <v>461</v>
      </c>
      <c r="T149" s="32" t="s">
        <v>7</v>
      </c>
      <c r="U149" s="32" t="s">
        <v>6</v>
      </c>
      <c r="V149" s="32" t="s">
        <v>461</v>
      </c>
      <c r="W149" s="32" t="s">
        <v>7</v>
      </c>
      <c r="X149" s="58"/>
      <c r="Y149" s="58"/>
      <c r="Z149" s="58"/>
      <c r="AA149" s="58"/>
      <c r="AB149" s="58"/>
      <c r="AC149" s="58"/>
    </row>
    <row r="150" spans="1:29" ht="15.6" x14ac:dyDescent="0.3">
      <c r="A150" s="59"/>
      <c r="B150" s="68"/>
      <c r="C150" s="33">
        <v>50</v>
      </c>
      <c r="D150" s="33">
        <v>50</v>
      </c>
      <c r="E150" s="33">
        <v>100</v>
      </c>
      <c r="F150" s="33">
        <v>50</v>
      </c>
      <c r="G150" s="33">
        <v>50</v>
      </c>
      <c r="H150" s="33">
        <v>100</v>
      </c>
      <c r="I150" s="33">
        <v>50</v>
      </c>
      <c r="J150" s="33">
        <v>50</v>
      </c>
      <c r="K150" s="33">
        <v>100</v>
      </c>
      <c r="L150" s="33">
        <v>50</v>
      </c>
      <c r="M150" s="33">
        <v>50</v>
      </c>
      <c r="N150" s="33">
        <v>100</v>
      </c>
      <c r="O150" s="33">
        <v>50</v>
      </c>
      <c r="P150" s="33">
        <v>50</v>
      </c>
      <c r="Q150" s="33">
        <v>100</v>
      </c>
      <c r="R150" s="33">
        <v>50</v>
      </c>
      <c r="S150" s="33">
        <v>50</v>
      </c>
      <c r="T150" s="33">
        <v>100</v>
      </c>
      <c r="U150" s="33">
        <v>50</v>
      </c>
      <c r="V150" s="33">
        <v>50</v>
      </c>
      <c r="W150" s="33">
        <v>100</v>
      </c>
      <c r="X150" s="59"/>
      <c r="Y150" s="59"/>
      <c r="Z150" s="59"/>
      <c r="AA150" s="59"/>
      <c r="AB150" s="59"/>
      <c r="AC150" s="59"/>
    </row>
    <row r="151" spans="1:29" ht="15.6" x14ac:dyDescent="0.3">
      <c r="A151" s="26">
        <v>1</v>
      </c>
      <c r="B151" s="29" t="s">
        <v>387</v>
      </c>
      <c r="C151" s="26">
        <v>41</v>
      </c>
      <c r="D151" s="26">
        <v>39</v>
      </c>
      <c r="E151" s="33">
        <f t="shared" ref="E151:E170" si="48">SUM(C151:D151)</f>
        <v>80</v>
      </c>
      <c r="F151" s="26">
        <v>33</v>
      </c>
      <c r="G151" s="26">
        <v>30</v>
      </c>
      <c r="H151" s="33">
        <f t="shared" ref="H151:H170" si="49">SUM(F151:G151)</f>
        <v>63</v>
      </c>
      <c r="I151" s="26">
        <v>28</v>
      </c>
      <c r="J151" s="26">
        <v>25</v>
      </c>
      <c r="K151" s="33">
        <f t="shared" ref="K151:K170" si="50">SUM(I151:J151)</f>
        <v>53</v>
      </c>
      <c r="L151" s="26">
        <v>29</v>
      </c>
      <c r="M151" s="26">
        <v>25</v>
      </c>
      <c r="N151" s="33">
        <f t="shared" ref="N151:N170" si="51">SUM(L151:M151)</f>
        <v>54</v>
      </c>
      <c r="O151" s="26">
        <v>25</v>
      </c>
      <c r="P151" s="26">
        <v>28</v>
      </c>
      <c r="Q151" s="33">
        <f t="shared" ref="Q151:Q170" si="52">SUM(O151:P151)</f>
        <v>53</v>
      </c>
      <c r="R151" s="26">
        <v>25</v>
      </c>
      <c r="S151" s="26">
        <v>29</v>
      </c>
      <c r="T151" s="33">
        <f t="shared" ref="T151:T170" si="53">SUM(R151:S151)</f>
        <v>54</v>
      </c>
      <c r="U151" s="26">
        <v>25</v>
      </c>
      <c r="V151" s="26">
        <v>25</v>
      </c>
      <c r="W151" s="33">
        <f t="shared" ref="W151:W170" si="54">SUM(U151:V151)</f>
        <v>50</v>
      </c>
      <c r="X151" s="30"/>
      <c r="Y151" s="30"/>
      <c r="Z151" s="30"/>
      <c r="AA151" s="33">
        <f t="shared" ref="AA151:AA170" si="55">SUM(W151,T151,Q151,N151,K151,H151,E151)</f>
        <v>407</v>
      </c>
      <c r="AB151" s="26" t="s">
        <v>117</v>
      </c>
      <c r="AC151" s="28"/>
    </row>
    <row r="152" spans="1:29" ht="15.6" x14ac:dyDescent="0.3">
      <c r="A152" s="26">
        <v>2</v>
      </c>
      <c r="B152" s="29" t="s">
        <v>388</v>
      </c>
      <c r="C152" s="26">
        <v>32</v>
      </c>
      <c r="D152" s="26">
        <v>25</v>
      </c>
      <c r="E152" s="33">
        <f t="shared" si="48"/>
        <v>57</v>
      </c>
      <c r="F152" s="26">
        <v>32</v>
      </c>
      <c r="G152" s="26">
        <v>28</v>
      </c>
      <c r="H152" s="33">
        <f t="shared" si="49"/>
        <v>60</v>
      </c>
      <c r="I152" s="26">
        <v>28</v>
      </c>
      <c r="J152" s="26">
        <v>31</v>
      </c>
      <c r="K152" s="33">
        <f t="shared" si="50"/>
        <v>59</v>
      </c>
      <c r="L152" s="26">
        <v>27</v>
      </c>
      <c r="M152" s="26">
        <v>39</v>
      </c>
      <c r="N152" s="33">
        <f t="shared" si="51"/>
        <v>66</v>
      </c>
      <c r="O152" s="26">
        <v>25</v>
      </c>
      <c r="P152" s="26">
        <v>28</v>
      </c>
      <c r="Q152" s="33">
        <f t="shared" si="52"/>
        <v>53</v>
      </c>
      <c r="R152" s="26">
        <v>25</v>
      </c>
      <c r="S152" s="26">
        <v>33</v>
      </c>
      <c r="T152" s="33">
        <f t="shared" si="53"/>
        <v>58</v>
      </c>
      <c r="U152" s="26">
        <v>25</v>
      </c>
      <c r="V152" s="26">
        <v>28</v>
      </c>
      <c r="W152" s="33">
        <f t="shared" si="54"/>
        <v>53</v>
      </c>
      <c r="X152" s="30"/>
      <c r="Y152" s="30"/>
      <c r="Z152" s="30"/>
      <c r="AA152" s="33">
        <f t="shared" si="55"/>
        <v>406</v>
      </c>
      <c r="AB152" s="26" t="s">
        <v>117</v>
      </c>
      <c r="AC152" s="28"/>
    </row>
    <row r="153" spans="1:29" ht="15.6" x14ac:dyDescent="0.3">
      <c r="A153" s="26">
        <v>3</v>
      </c>
      <c r="B153" s="29" t="s">
        <v>391</v>
      </c>
      <c r="C153" s="26">
        <v>25</v>
      </c>
      <c r="D153" s="26">
        <v>25</v>
      </c>
      <c r="E153" s="33">
        <f t="shared" si="48"/>
        <v>50</v>
      </c>
      <c r="F153" s="26">
        <v>26</v>
      </c>
      <c r="G153" s="26">
        <v>28</v>
      </c>
      <c r="H153" s="33">
        <f t="shared" si="49"/>
        <v>54</v>
      </c>
      <c r="I153" s="26">
        <v>41</v>
      </c>
      <c r="J153" s="26">
        <v>39</v>
      </c>
      <c r="K153" s="33">
        <f t="shared" si="50"/>
        <v>80</v>
      </c>
      <c r="L153" s="26">
        <v>17</v>
      </c>
      <c r="M153" s="26">
        <v>35</v>
      </c>
      <c r="N153" s="33">
        <f t="shared" si="51"/>
        <v>52</v>
      </c>
      <c r="O153" s="26">
        <v>24</v>
      </c>
      <c r="P153" s="26">
        <v>29</v>
      </c>
      <c r="Q153" s="33">
        <f t="shared" si="52"/>
        <v>53</v>
      </c>
      <c r="R153" s="26">
        <v>12</v>
      </c>
      <c r="S153" s="26">
        <v>38</v>
      </c>
      <c r="T153" s="33">
        <f t="shared" si="53"/>
        <v>50</v>
      </c>
      <c r="U153" s="26">
        <v>14</v>
      </c>
      <c r="V153" s="26">
        <v>36</v>
      </c>
      <c r="W153" s="33">
        <f t="shared" si="54"/>
        <v>50</v>
      </c>
      <c r="X153" s="30"/>
      <c r="Y153" s="30"/>
      <c r="Z153" s="30"/>
      <c r="AA153" s="33">
        <f t="shared" si="55"/>
        <v>389</v>
      </c>
      <c r="AB153" s="26" t="s">
        <v>117</v>
      </c>
      <c r="AC153" s="28"/>
    </row>
    <row r="154" spans="1:29" ht="15.6" x14ac:dyDescent="0.3">
      <c r="A154" s="26">
        <v>4</v>
      </c>
      <c r="B154" s="29" t="s">
        <v>392</v>
      </c>
      <c r="C154" s="26">
        <v>46</v>
      </c>
      <c r="D154" s="26">
        <v>42</v>
      </c>
      <c r="E154" s="33">
        <f t="shared" si="48"/>
        <v>88</v>
      </c>
      <c r="F154" s="26">
        <v>48</v>
      </c>
      <c r="G154" s="26">
        <v>50</v>
      </c>
      <c r="H154" s="33">
        <f t="shared" si="49"/>
        <v>98</v>
      </c>
      <c r="I154" s="26">
        <v>29</v>
      </c>
      <c r="J154" s="26">
        <v>21</v>
      </c>
      <c r="K154" s="33">
        <f t="shared" si="50"/>
        <v>50</v>
      </c>
      <c r="L154" s="26">
        <v>46</v>
      </c>
      <c r="M154" s="26">
        <v>29</v>
      </c>
      <c r="N154" s="33">
        <f t="shared" si="51"/>
        <v>75</v>
      </c>
      <c r="O154" s="26">
        <v>37</v>
      </c>
      <c r="P154" s="26">
        <v>44</v>
      </c>
      <c r="Q154" s="33">
        <f t="shared" si="52"/>
        <v>81</v>
      </c>
      <c r="R154" s="26">
        <v>42</v>
      </c>
      <c r="S154" s="26">
        <v>43</v>
      </c>
      <c r="T154" s="33">
        <f t="shared" si="53"/>
        <v>85</v>
      </c>
      <c r="U154" s="26">
        <v>43</v>
      </c>
      <c r="V154" s="26">
        <v>37</v>
      </c>
      <c r="W154" s="33">
        <f t="shared" si="54"/>
        <v>80</v>
      </c>
      <c r="X154" s="30"/>
      <c r="Y154" s="30"/>
      <c r="Z154" s="30"/>
      <c r="AA154" s="33">
        <f t="shared" si="55"/>
        <v>557</v>
      </c>
      <c r="AB154" s="26" t="s">
        <v>117</v>
      </c>
      <c r="AC154" s="28"/>
    </row>
    <row r="155" spans="1:29" ht="15.6" x14ac:dyDescent="0.3">
      <c r="A155" s="26">
        <v>5</v>
      </c>
      <c r="B155" s="29" t="s">
        <v>393</v>
      </c>
      <c r="C155" s="26">
        <v>30</v>
      </c>
      <c r="D155" s="26">
        <v>25</v>
      </c>
      <c r="E155" s="33">
        <f t="shared" si="48"/>
        <v>55</v>
      </c>
      <c r="F155" s="26">
        <v>38</v>
      </c>
      <c r="G155" s="26">
        <v>28</v>
      </c>
      <c r="H155" s="33">
        <f t="shared" si="49"/>
        <v>66</v>
      </c>
      <c r="I155" s="26">
        <v>44</v>
      </c>
      <c r="J155" s="26">
        <v>45</v>
      </c>
      <c r="K155" s="33">
        <f t="shared" si="50"/>
        <v>89</v>
      </c>
      <c r="L155" s="26">
        <v>25</v>
      </c>
      <c r="M155" s="26">
        <v>29</v>
      </c>
      <c r="N155" s="33">
        <f t="shared" si="51"/>
        <v>54</v>
      </c>
      <c r="O155" s="26">
        <v>29</v>
      </c>
      <c r="P155" s="26">
        <v>30</v>
      </c>
      <c r="Q155" s="33">
        <f t="shared" si="52"/>
        <v>59</v>
      </c>
      <c r="R155" s="26">
        <v>25</v>
      </c>
      <c r="S155" s="26">
        <v>32</v>
      </c>
      <c r="T155" s="33">
        <f t="shared" si="53"/>
        <v>57</v>
      </c>
      <c r="U155" s="26">
        <v>25</v>
      </c>
      <c r="V155" s="26">
        <v>25</v>
      </c>
      <c r="W155" s="33">
        <f t="shared" si="54"/>
        <v>50</v>
      </c>
      <c r="X155" s="30"/>
      <c r="Y155" s="30"/>
      <c r="Z155" s="30"/>
      <c r="AA155" s="33">
        <f t="shared" si="55"/>
        <v>430</v>
      </c>
      <c r="AB155" s="26" t="s">
        <v>117</v>
      </c>
      <c r="AC155" s="28"/>
    </row>
    <row r="156" spans="1:29" ht="15.6" x14ac:dyDescent="0.3">
      <c r="A156" s="26">
        <v>6</v>
      </c>
      <c r="B156" s="29" t="s">
        <v>394</v>
      </c>
      <c r="C156" s="26">
        <v>50</v>
      </c>
      <c r="D156" s="26">
        <v>50</v>
      </c>
      <c r="E156" s="33">
        <f t="shared" si="48"/>
        <v>100</v>
      </c>
      <c r="F156" s="26">
        <v>48</v>
      </c>
      <c r="G156" s="26">
        <v>48</v>
      </c>
      <c r="H156" s="33">
        <f t="shared" si="49"/>
        <v>96</v>
      </c>
      <c r="I156" s="26">
        <v>41</v>
      </c>
      <c r="J156" s="26">
        <v>45</v>
      </c>
      <c r="K156" s="33">
        <f t="shared" si="50"/>
        <v>86</v>
      </c>
      <c r="L156" s="26">
        <v>49</v>
      </c>
      <c r="M156" s="26">
        <v>39</v>
      </c>
      <c r="N156" s="33">
        <f t="shared" si="51"/>
        <v>88</v>
      </c>
      <c r="O156" s="26">
        <v>31</v>
      </c>
      <c r="P156" s="26">
        <v>38</v>
      </c>
      <c r="Q156" s="33">
        <f t="shared" si="52"/>
        <v>69</v>
      </c>
      <c r="R156" s="26">
        <v>34</v>
      </c>
      <c r="S156" s="26">
        <v>50</v>
      </c>
      <c r="T156" s="33">
        <f t="shared" si="53"/>
        <v>84</v>
      </c>
      <c r="U156" s="26">
        <v>41</v>
      </c>
      <c r="V156" s="26">
        <v>41</v>
      </c>
      <c r="W156" s="33">
        <f t="shared" si="54"/>
        <v>82</v>
      </c>
      <c r="X156" s="30"/>
      <c r="Y156" s="30"/>
      <c r="Z156" s="30"/>
      <c r="AA156" s="33">
        <f t="shared" si="55"/>
        <v>605</v>
      </c>
      <c r="AB156" s="26" t="s">
        <v>117</v>
      </c>
      <c r="AC156" s="28"/>
    </row>
    <row r="157" spans="1:29" ht="15.6" x14ac:dyDescent="0.3">
      <c r="A157" s="26">
        <v>7</v>
      </c>
      <c r="B157" s="29" t="s">
        <v>395</v>
      </c>
      <c r="C157" s="26">
        <v>49</v>
      </c>
      <c r="D157" s="26">
        <v>46</v>
      </c>
      <c r="E157" s="33">
        <f t="shared" si="48"/>
        <v>95</v>
      </c>
      <c r="F157" s="26">
        <v>47</v>
      </c>
      <c r="G157" s="26">
        <v>44</v>
      </c>
      <c r="H157" s="33">
        <f t="shared" si="49"/>
        <v>91</v>
      </c>
      <c r="I157" s="26">
        <v>20</v>
      </c>
      <c r="J157" s="26">
        <v>30</v>
      </c>
      <c r="K157" s="33">
        <f t="shared" si="50"/>
        <v>50</v>
      </c>
      <c r="L157" s="26">
        <v>34</v>
      </c>
      <c r="M157" s="26">
        <v>30</v>
      </c>
      <c r="N157" s="33">
        <f t="shared" si="51"/>
        <v>64</v>
      </c>
      <c r="O157" s="26">
        <v>39</v>
      </c>
      <c r="P157" s="26">
        <v>45</v>
      </c>
      <c r="Q157" s="33">
        <f t="shared" si="52"/>
        <v>84</v>
      </c>
      <c r="R157" s="26">
        <v>32</v>
      </c>
      <c r="S157" s="26">
        <v>50</v>
      </c>
      <c r="T157" s="33">
        <f t="shared" si="53"/>
        <v>82</v>
      </c>
      <c r="U157" s="26">
        <v>35</v>
      </c>
      <c r="V157" s="26">
        <v>42</v>
      </c>
      <c r="W157" s="33">
        <f t="shared" si="54"/>
        <v>77</v>
      </c>
      <c r="X157" s="30"/>
      <c r="Y157" s="30"/>
      <c r="Z157" s="30"/>
      <c r="AA157" s="33">
        <f t="shared" si="55"/>
        <v>543</v>
      </c>
      <c r="AB157" s="26" t="s">
        <v>117</v>
      </c>
      <c r="AC157" s="28"/>
    </row>
    <row r="158" spans="1:29" ht="15.6" x14ac:dyDescent="0.3">
      <c r="A158" s="26">
        <v>8</v>
      </c>
      <c r="B158" s="29" t="s">
        <v>396</v>
      </c>
      <c r="C158" s="26">
        <v>27</v>
      </c>
      <c r="D158" s="26">
        <v>25</v>
      </c>
      <c r="E158" s="33">
        <f t="shared" si="48"/>
        <v>52</v>
      </c>
      <c r="F158" s="26">
        <v>22</v>
      </c>
      <c r="G158" s="26">
        <v>28</v>
      </c>
      <c r="H158" s="33">
        <f t="shared" si="49"/>
        <v>50</v>
      </c>
      <c r="I158" s="26">
        <v>25</v>
      </c>
      <c r="J158" s="26">
        <v>25</v>
      </c>
      <c r="K158" s="33">
        <f t="shared" si="50"/>
        <v>50</v>
      </c>
      <c r="L158" s="26">
        <v>22</v>
      </c>
      <c r="M158" s="26">
        <v>35</v>
      </c>
      <c r="N158" s="33">
        <f t="shared" si="51"/>
        <v>57</v>
      </c>
      <c r="O158" s="26">
        <v>21</v>
      </c>
      <c r="P158" s="26">
        <v>29</v>
      </c>
      <c r="Q158" s="33">
        <f t="shared" si="52"/>
        <v>50</v>
      </c>
      <c r="R158" s="26">
        <v>12</v>
      </c>
      <c r="S158" s="26">
        <v>38</v>
      </c>
      <c r="T158" s="33">
        <f t="shared" si="53"/>
        <v>50</v>
      </c>
      <c r="U158" s="26">
        <v>19</v>
      </c>
      <c r="V158" s="26">
        <v>31</v>
      </c>
      <c r="W158" s="33">
        <f t="shared" si="54"/>
        <v>50</v>
      </c>
      <c r="X158" s="30"/>
      <c r="Y158" s="30"/>
      <c r="Z158" s="30"/>
      <c r="AA158" s="33">
        <f t="shared" si="55"/>
        <v>359</v>
      </c>
      <c r="AB158" s="26" t="s">
        <v>117</v>
      </c>
      <c r="AC158" s="28"/>
    </row>
    <row r="159" spans="1:29" ht="15.6" x14ac:dyDescent="0.3">
      <c r="A159" s="26">
        <v>9</v>
      </c>
      <c r="B159" s="29" t="s">
        <v>397</v>
      </c>
      <c r="C159" s="26">
        <v>20</v>
      </c>
      <c r="D159" s="26">
        <v>30</v>
      </c>
      <c r="E159" s="33">
        <f t="shared" si="48"/>
        <v>50</v>
      </c>
      <c r="F159" s="26">
        <v>28</v>
      </c>
      <c r="G159" s="26">
        <v>29</v>
      </c>
      <c r="H159" s="33">
        <f t="shared" si="49"/>
        <v>57</v>
      </c>
      <c r="I159" s="26">
        <v>16</v>
      </c>
      <c r="J159" s="26">
        <v>34</v>
      </c>
      <c r="K159" s="33">
        <f t="shared" si="50"/>
        <v>50</v>
      </c>
      <c r="L159" s="26">
        <v>23</v>
      </c>
      <c r="M159" s="26">
        <v>28</v>
      </c>
      <c r="N159" s="33">
        <f t="shared" si="51"/>
        <v>51</v>
      </c>
      <c r="O159" s="26">
        <v>25</v>
      </c>
      <c r="P159" s="26">
        <v>25</v>
      </c>
      <c r="Q159" s="33">
        <f t="shared" si="52"/>
        <v>50</v>
      </c>
      <c r="R159" s="26">
        <v>13</v>
      </c>
      <c r="S159" s="26">
        <v>37</v>
      </c>
      <c r="T159" s="33">
        <f t="shared" si="53"/>
        <v>50</v>
      </c>
      <c r="U159" s="26">
        <v>19</v>
      </c>
      <c r="V159" s="26">
        <v>31</v>
      </c>
      <c r="W159" s="33">
        <f t="shared" si="54"/>
        <v>50</v>
      </c>
      <c r="X159" s="30"/>
      <c r="Y159" s="30"/>
      <c r="Z159" s="30"/>
      <c r="AA159" s="33">
        <f t="shared" si="55"/>
        <v>358</v>
      </c>
      <c r="AB159" s="26" t="s">
        <v>117</v>
      </c>
      <c r="AC159" s="28"/>
    </row>
    <row r="160" spans="1:29" ht="15.6" x14ac:dyDescent="0.3">
      <c r="A160" s="26">
        <v>10</v>
      </c>
      <c r="B160" s="29" t="s">
        <v>398</v>
      </c>
      <c r="C160" s="26">
        <v>20</v>
      </c>
      <c r="D160" s="26">
        <v>30</v>
      </c>
      <c r="E160" s="33">
        <f t="shared" si="48"/>
        <v>50</v>
      </c>
      <c r="F160" s="26">
        <v>21</v>
      </c>
      <c r="G160" s="26">
        <v>29</v>
      </c>
      <c r="H160" s="33">
        <f t="shared" si="49"/>
        <v>50</v>
      </c>
      <c r="I160" s="26">
        <v>25</v>
      </c>
      <c r="J160" s="26">
        <v>25</v>
      </c>
      <c r="K160" s="33">
        <f t="shared" si="50"/>
        <v>50</v>
      </c>
      <c r="L160" s="26">
        <v>23</v>
      </c>
      <c r="M160" s="26">
        <v>27</v>
      </c>
      <c r="N160" s="33">
        <f t="shared" si="51"/>
        <v>50</v>
      </c>
      <c r="O160" s="26">
        <v>28</v>
      </c>
      <c r="P160" s="26">
        <v>22</v>
      </c>
      <c r="Q160" s="33">
        <f t="shared" si="52"/>
        <v>50</v>
      </c>
      <c r="R160" s="26">
        <v>16</v>
      </c>
      <c r="S160" s="26">
        <v>34</v>
      </c>
      <c r="T160" s="33">
        <f t="shared" si="53"/>
        <v>50</v>
      </c>
      <c r="U160" s="26">
        <v>16</v>
      </c>
      <c r="V160" s="26">
        <v>34</v>
      </c>
      <c r="W160" s="33">
        <f t="shared" si="54"/>
        <v>50</v>
      </c>
      <c r="X160" s="30"/>
      <c r="Y160" s="30"/>
      <c r="Z160" s="30"/>
      <c r="AA160" s="33">
        <f t="shared" si="55"/>
        <v>350</v>
      </c>
      <c r="AB160" s="26" t="s">
        <v>117</v>
      </c>
      <c r="AC160" s="28"/>
    </row>
    <row r="161" spans="1:29" ht="15.6" x14ac:dyDescent="0.3">
      <c r="A161" s="26">
        <v>11</v>
      </c>
      <c r="B161" s="27" t="s">
        <v>399</v>
      </c>
      <c r="C161" s="26">
        <v>25</v>
      </c>
      <c r="D161" s="26">
        <v>25</v>
      </c>
      <c r="E161" s="33">
        <f t="shared" si="48"/>
        <v>50</v>
      </c>
      <c r="F161" s="26">
        <v>25</v>
      </c>
      <c r="G161" s="26">
        <v>28</v>
      </c>
      <c r="H161" s="33">
        <f t="shared" si="49"/>
        <v>53</v>
      </c>
      <c r="I161" s="26">
        <v>25</v>
      </c>
      <c r="J161" s="26">
        <v>25</v>
      </c>
      <c r="K161" s="33">
        <f t="shared" si="50"/>
        <v>50</v>
      </c>
      <c r="L161" s="26">
        <v>19</v>
      </c>
      <c r="M161" s="26">
        <v>39</v>
      </c>
      <c r="N161" s="33">
        <f t="shared" si="51"/>
        <v>58</v>
      </c>
      <c r="O161" s="26">
        <v>18</v>
      </c>
      <c r="P161" s="26">
        <v>32</v>
      </c>
      <c r="Q161" s="33">
        <f t="shared" si="52"/>
        <v>50</v>
      </c>
      <c r="R161" s="26">
        <v>13</v>
      </c>
      <c r="S161" s="26">
        <v>37</v>
      </c>
      <c r="T161" s="33">
        <f t="shared" si="53"/>
        <v>50</v>
      </c>
      <c r="U161" s="26">
        <v>18</v>
      </c>
      <c r="V161" s="26">
        <v>32</v>
      </c>
      <c r="W161" s="33">
        <f t="shared" si="54"/>
        <v>50</v>
      </c>
      <c r="X161" s="30"/>
      <c r="Y161" s="30"/>
      <c r="Z161" s="30"/>
      <c r="AA161" s="33">
        <f t="shared" si="55"/>
        <v>361</v>
      </c>
      <c r="AB161" s="26" t="s">
        <v>117</v>
      </c>
      <c r="AC161" s="28"/>
    </row>
    <row r="162" spans="1:29" ht="15.6" x14ac:dyDescent="0.3">
      <c r="A162" s="26">
        <v>12</v>
      </c>
      <c r="B162" s="27" t="s">
        <v>509</v>
      </c>
      <c r="C162" s="26">
        <v>25</v>
      </c>
      <c r="D162" s="26">
        <v>25</v>
      </c>
      <c r="E162" s="33">
        <f t="shared" si="48"/>
        <v>50</v>
      </c>
      <c r="F162" s="26">
        <v>31</v>
      </c>
      <c r="G162" s="26">
        <v>28</v>
      </c>
      <c r="H162" s="33">
        <f t="shared" si="49"/>
        <v>59</v>
      </c>
      <c r="I162" s="26">
        <v>25</v>
      </c>
      <c r="J162" s="26">
        <v>25</v>
      </c>
      <c r="K162" s="33">
        <f t="shared" si="50"/>
        <v>50</v>
      </c>
      <c r="L162" s="26">
        <v>29</v>
      </c>
      <c r="M162" s="26">
        <v>35</v>
      </c>
      <c r="N162" s="33">
        <f t="shared" si="51"/>
        <v>64</v>
      </c>
      <c r="O162" s="26">
        <v>28</v>
      </c>
      <c r="P162" s="26">
        <v>26</v>
      </c>
      <c r="Q162" s="33">
        <f t="shared" si="52"/>
        <v>54</v>
      </c>
      <c r="R162" s="26">
        <v>21</v>
      </c>
      <c r="S162" s="26">
        <v>29</v>
      </c>
      <c r="T162" s="33">
        <f t="shared" si="53"/>
        <v>50</v>
      </c>
      <c r="U162" s="26">
        <v>16</v>
      </c>
      <c r="V162" s="26">
        <v>34</v>
      </c>
      <c r="W162" s="33">
        <f t="shared" si="54"/>
        <v>50</v>
      </c>
      <c r="X162" s="30"/>
      <c r="Y162" s="30"/>
      <c r="Z162" s="30"/>
      <c r="AA162" s="33">
        <f t="shared" si="55"/>
        <v>377</v>
      </c>
      <c r="AB162" s="26" t="s">
        <v>117</v>
      </c>
      <c r="AC162" s="28"/>
    </row>
    <row r="163" spans="1:29" ht="15.6" x14ac:dyDescent="0.3">
      <c r="A163" s="26">
        <v>13</v>
      </c>
      <c r="B163" s="27" t="s">
        <v>400</v>
      </c>
      <c r="C163" s="26">
        <v>46</v>
      </c>
      <c r="D163" s="26">
        <v>46</v>
      </c>
      <c r="E163" s="33">
        <f t="shared" si="48"/>
        <v>92</v>
      </c>
      <c r="F163" s="26">
        <v>37</v>
      </c>
      <c r="G163" s="26">
        <v>50</v>
      </c>
      <c r="H163" s="33">
        <f t="shared" si="49"/>
        <v>87</v>
      </c>
      <c r="I163" s="26">
        <v>42</v>
      </c>
      <c r="J163" s="26">
        <v>42</v>
      </c>
      <c r="K163" s="33">
        <f t="shared" si="50"/>
        <v>84</v>
      </c>
      <c r="L163" s="26">
        <v>45</v>
      </c>
      <c r="M163" s="26">
        <v>37</v>
      </c>
      <c r="N163" s="33">
        <f t="shared" si="51"/>
        <v>82</v>
      </c>
      <c r="O163" s="26">
        <v>27</v>
      </c>
      <c r="P163" s="26">
        <v>35</v>
      </c>
      <c r="Q163" s="33">
        <f t="shared" si="52"/>
        <v>62</v>
      </c>
      <c r="R163" s="26">
        <v>37</v>
      </c>
      <c r="S163" s="26">
        <v>40</v>
      </c>
      <c r="T163" s="33">
        <f t="shared" si="53"/>
        <v>77</v>
      </c>
      <c r="U163" s="26">
        <v>37</v>
      </c>
      <c r="V163" s="26">
        <v>29</v>
      </c>
      <c r="W163" s="33">
        <f t="shared" si="54"/>
        <v>66</v>
      </c>
      <c r="X163" s="30"/>
      <c r="Y163" s="30"/>
      <c r="Z163" s="30"/>
      <c r="AA163" s="33">
        <f t="shared" si="55"/>
        <v>550</v>
      </c>
      <c r="AB163" s="26" t="s">
        <v>117</v>
      </c>
      <c r="AC163" s="28"/>
    </row>
    <row r="164" spans="1:29" ht="15.6" x14ac:dyDescent="0.3">
      <c r="A164" s="26">
        <v>14</v>
      </c>
      <c r="B164" s="27" t="s">
        <v>510</v>
      </c>
      <c r="C164" s="26">
        <v>25</v>
      </c>
      <c r="D164" s="26">
        <v>25</v>
      </c>
      <c r="E164" s="33">
        <f t="shared" si="48"/>
        <v>50</v>
      </c>
      <c r="F164" s="26">
        <v>25</v>
      </c>
      <c r="G164" s="26">
        <v>28</v>
      </c>
      <c r="H164" s="33">
        <f t="shared" si="49"/>
        <v>53</v>
      </c>
      <c r="I164" s="26">
        <v>21</v>
      </c>
      <c r="J164" s="26">
        <v>29</v>
      </c>
      <c r="K164" s="33">
        <f t="shared" si="50"/>
        <v>50</v>
      </c>
      <c r="L164" s="26">
        <v>20</v>
      </c>
      <c r="M164" s="26">
        <v>30</v>
      </c>
      <c r="N164" s="33">
        <f t="shared" si="51"/>
        <v>50</v>
      </c>
      <c r="O164" s="26">
        <v>23</v>
      </c>
      <c r="P164" s="26">
        <v>27</v>
      </c>
      <c r="Q164" s="33">
        <f t="shared" si="52"/>
        <v>50</v>
      </c>
      <c r="R164" s="26">
        <v>15</v>
      </c>
      <c r="S164" s="26">
        <v>35</v>
      </c>
      <c r="T164" s="33">
        <f t="shared" si="53"/>
        <v>50</v>
      </c>
      <c r="U164" s="26">
        <v>16</v>
      </c>
      <c r="V164" s="26">
        <v>34</v>
      </c>
      <c r="W164" s="33">
        <f t="shared" si="54"/>
        <v>50</v>
      </c>
      <c r="X164" s="30"/>
      <c r="Y164" s="30"/>
      <c r="Z164" s="30"/>
      <c r="AA164" s="33">
        <f t="shared" si="55"/>
        <v>353</v>
      </c>
      <c r="AB164" s="26" t="s">
        <v>117</v>
      </c>
      <c r="AC164" s="28"/>
    </row>
    <row r="165" spans="1:29" ht="15.6" x14ac:dyDescent="0.3">
      <c r="A165" s="26">
        <v>15</v>
      </c>
      <c r="B165" s="27" t="s">
        <v>401</v>
      </c>
      <c r="C165" s="26">
        <v>44</v>
      </c>
      <c r="D165" s="26">
        <v>43</v>
      </c>
      <c r="E165" s="33">
        <f t="shared" si="48"/>
        <v>87</v>
      </c>
      <c r="F165" s="26">
        <v>46</v>
      </c>
      <c r="G165" s="26">
        <v>45</v>
      </c>
      <c r="H165" s="33">
        <f t="shared" si="49"/>
        <v>91</v>
      </c>
      <c r="I165" s="26">
        <v>45</v>
      </c>
      <c r="J165" s="26">
        <v>40</v>
      </c>
      <c r="K165" s="33">
        <f t="shared" si="50"/>
        <v>85</v>
      </c>
      <c r="L165" s="26">
        <v>49</v>
      </c>
      <c r="M165" s="26">
        <v>45</v>
      </c>
      <c r="N165" s="33">
        <f t="shared" si="51"/>
        <v>94</v>
      </c>
      <c r="O165" s="26">
        <v>37</v>
      </c>
      <c r="P165" s="26">
        <v>33</v>
      </c>
      <c r="Q165" s="33">
        <f t="shared" si="52"/>
        <v>70</v>
      </c>
      <c r="R165" s="26">
        <v>25</v>
      </c>
      <c r="S165" s="26">
        <v>44</v>
      </c>
      <c r="T165" s="33">
        <f t="shared" si="53"/>
        <v>69</v>
      </c>
      <c r="U165" s="26">
        <v>35</v>
      </c>
      <c r="V165" s="26">
        <v>45</v>
      </c>
      <c r="W165" s="33">
        <f t="shared" si="54"/>
        <v>80</v>
      </c>
      <c r="X165" s="30"/>
      <c r="Y165" s="30"/>
      <c r="Z165" s="30"/>
      <c r="AA165" s="33">
        <f t="shared" si="55"/>
        <v>576</v>
      </c>
      <c r="AB165" s="26" t="s">
        <v>117</v>
      </c>
      <c r="AC165" s="28"/>
    </row>
    <row r="166" spans="1:29" ht="15.6" x14ac:dyDescent="0.3">
      <c r="A166" s="26">
        <v>16</v>
      </c>
      <c r="B166" s="27" t="s">
        <v>499</v>
      </c>
      <c r="C166" s="26">
        <v>41</v>
      </c>
      <c r="D166" s="26">
        <v>41</v>
      </c>
      <c r="E166" s="33">
        <f t="shared" si="48"/>
        <v>82</v>
      </c>
      <c r="F166" s="26">
        <v>48</v>
      </c>
      <c r="G166" s="26">
        <v>48</v>
      </c>
      <c r="H166" s="33">
        <f t="shared" si="49"/>
        <v>96</v>
      </c>
      <c r="I166" s="26">
        <v>39</v>
      </c>
      <c r="J166" s="26">
        <v>40</v>
      </c>
      <c r="K166" s="33">
        <f t="shared" si="50"/>
        <v>79</v>
      </c>
      <c r="L166" s="26">
        <v>38</v>
      </c>
      <c r="M166" s="26">
        <v>33</v>
      </c>
      <c r="N166" s="33">
        <f t="shared" si="51"/>
        <v>71</v>
      </c>
      <c r="O166" s="26">
        <v>28</v>
      </c>
      <c r="P166" s="26">
        <v>27</v>
      </c>
      <c r="Q166" s="33">
        <f t="shared" si="52"/>
        <v>55</v>
      </c>
      <c r="R166" s="26">
        <v>32</v>
      </c>
      <c r="S166" s="26">
        <v>28</v>
      </c>
      <c r="T166" s="33">
        <f t="shared" si="53"/>
        <v>60</v>
      </c>
      <c r="U166" s="26">
        <v>35</v>
      </c>
      <c r="V166" s="26">
        <v>32</v>
      </c>
      <c r="W166" s="33">
        <f t="shared" si="54"/>
        <v>67</v>
      </c>
      <c r="X166" s="30"/>
      <c r="Y166" s="30"/>
      <c r="Z166" s="30"/>
      <c r="AA166" s="33">
        <f t="shared" si="55"/>
        <v>510</v>
      </c>
      <c r="AB166" s="26" t="s">
        <v>117</v>
      </c>
      <c r="AC166" s="28"/>
    </row>
    <row r="167" spans="1:29" ht="15.6" x14ac:dyDescent="0.3">
      <c r="A167" s="26">
        <v>17</v>
      </c>
      <c r="B167" s="27" t="s">
        <v>402</v>
      </c>
      <c r="C167" s="26">
        <v>25</v>
      </c>
      <c r="D167" s="26">
        <v>25</v>
      </c>
      <c r="E167" s="33">
        <f t="shared" si="48"/>
        <v>50</v>
      </c>
      <c r="F167" s="26">
        <v>25</v>
      </c>
      <c r="G167" s="26">
        <v>29</v>
      </c>
      <c r="H167" s="33">
        <f t="shared" si="49"/>
        <v>54</v>
      </c>
      <c r="I167" s="26">
        <v>25</v>
      </c>
      <c r="J167" s="26">
        <v>26</v>
      </c>
      <c r="K167" s="33">
        <f t="shared" si="50"/>
        <v>51</v>
      </c>
      <c r="L167" s="26">
        <v>26</v>
      </c>
      <c r="M167" s="26">
        <v>25</v>
      </c>
      <c r="N167" s="33">
        <f t="shared" si="51"/>
        <v>51</v>
      </c>
      <c r="O167" s="26">
        <v>27</v>
      </c>
      <c r="P167" s="26">
        <v>23</v>
      </c>
      <c r="Q167" s="33">
        <f t="shared" si="52"/>
        <v>50</v>
      </c>
      <c r="R167" s="26">
        <v>16</v>
      </c>
      <c r="S167" s="26">
        <v>34</v>
      </c>
      <c r="T167" s="33">
        <f t="shared" si="53"/>
        <v>50</v>
      </c>
      <c r="U167" s="26">
        <v>17</v>
      </c>
      <c r="V167" s="26">
        <v>33</v>
      </c>
      <c r="W167" s="33">
        <f t="shared" si="54"/>
        <v>50</v>
      </c>
      <c r="X167" s="30"/>
      <c r="Y167" s="30"/>
      <c r="Z167" s="30"/>
      <c r="AA167" s="33">
        <f t="shared" si="55"/>
        <v>356</v>
      </c>
      <c r="AB167" s="26" t="s">
        <v>117</v>
      </c>
      <c r="AC167" s="28"/>
    </row>
    <row r="168" spans="1:29" ht="15.6" x14ac:dyDescent="0.3">
      <c r="A168" s="26">
        <v>18</v>
      </c>
      <c r="B168" s="27" t="s">
        <v>403</v>
      </c>
      <c r="C168" s="26">
        <v>49</v>
      </c>
      <c r="D168" s="26">
        <v>50</v>
      </c>
      <c r="E168" s="33">
        <f t="shared" si="48"/>
        <v>99</v>
      </c>
      <c r="F168" s="26">
        <v>50</v>
      </c>
      <c r="G168" s="26">
        <v>50</v>
      </c>
      <c r="H168" s="33">
        <f t="shared" si="49"/>
        <v>100</v>
      </c>
      <c r="I168" s="26">
        <v>48</v>
      </c>
      <c r="J168" s="26">
        <v>48</v>
      </c>
      <c r="K168" s="33">
        <f t="shared" si="50"/>
        <v>96</v>
      </c>
      <c r="L168" s="26">
        <v>48</v>
      </c>
      <c r="M168" s="26">
        <v>47</v>
      </c>
      <c r="N168" s="33">
        <f t="shared" si="51"/>
        <v>95</v>
      </c>
      <c r="O168" s="26">
        <v>37</v>
      </c>
      <c r="P168" s="26">
        <v>50</v>
      </c>
      <c r="Q168" s="33">
        <f t="shared" si="52"/>
        <v>87</v>
      </c>
      <c r="R168" s="26">
        <v>45</v>
      </c>
      <c r="S168" s="26">
        <v>50</v>
      </c>
      <c r="T168" s="33">
        <f t="shared" si="53"/>
        <v>95</v>
      </c>
      <c r="U168" s="26">
        <v>45</v>
      </c>
      <c r="V168" s="26">
        <v>50</v>
      </c>
      <c r="W168" s="33">
        <f t="shared" si="54"/>
        <v>95</v>
      </c>
      <c r="X168" s="30"/>
      <c r="Y168" s="30"/>
      <c r="Z168" s="30"/>
      <c r="AA168" s="33">
        <f t="shared" si="55"/>
        <v>667</v>
      </c>
      <c r="AB168" s="26" t="s">
        <v>117</v>
      </c>
      <c r="AC168" s="28"/>
    </row>
    <row r="169" spans="1:29" ht="15.6" x14ac:dyDescent="0.3">
      <c r="A169" s="26">
        <v>19</v>
      </c>
      <c r="B169" s="27" t="s">
        <v>404</v>
      </c>
      <c r="C169" s="26">
        <v>42</v>
      </c>
      <c r="D169" s="26">
        <v>47</v>
      </c>
      <c r="E169" s="33">
        <f t="shared" si="48"/>
        <v>89</v>
      </c>
      <c r="F169" s="26">
        <v>45</v>
      </c>
      <c r="G169" s="26">
        <v>50</v>
      </c>
      <c r="H169" s="33">
        <f t="shared" si="49"/>
        <v>95</v>
      </c>
      <c r="I169" s="26">
        <v>41</v>
      </c>
      <c r="J169" s="26">
        <v>39</v>
      </c>
      <c r="K169" s="33">
        <f t="shared" si="50"/>
        <v>80</v>
      </c>
      <c r="L169" s="26">
        <v>40</v>
      </c>
      <c r="M169" s="26">
        <v>36</v>
      </c>
      <c r="N169" s="33">
        <f t="shared" si="51"/>
        <v>76</v>
      </c>
      <c r="O169" s="26">
        <v>25</v>
      </c>
      <c r="P169" s="26">
        <v>38</v>
      </c>
      <c r="Q169" s="33">
        <f t="shared" si="52"/>
        <v>63</v>
      </c>
      <c r="R169" s="26">
        <v>35</v>
      </c>
      <c r="S169" s="26">
        <v>44</v>
      </c>
      <c r="T169" s="33">
        <f t="shared" si="53"/>
        <v>79</v>
      </c>
      <c r="U169" s="26">
        <v>25</v>
      </c>
      <c r="V169" s="26">
        <v>33</v>
      </c>
      <c r="W169" s="33">
        <f t="shared" si="54"/>
        <v>58</v>
      </c>
      <c r="X169" s="30"/>
      <c r="Y169" s="30"/>
      <c r="Z169" s="30"/>
      <c r="AA169" s="33">
        <f t="shared" si="55"/>
        <v>540</v>
      </c>
      <c r="AB169" s="26" t="s">
        <v>117</v>
      </c>
      <c r="AC169" s="28"/>
    </row>
    <row r="170" spans="1:29" ht="15.6" x14ac:dyDescent="0.3">
      <c r="A170" s="26">
        <v>20</v>
      </c>
      <c r="B170" s="27" t="s">
        <v>405</v>
      </c>
      <c r="C170" s="26">
        <v>50</v>
      </c>
      <c r="D170" s="26">
        <v>50</v>
      </c>
      <c r="E170" s="33">
        <f t="shared" si="48"/>
        <v>100</v>
      </c>
      <c r="F170" s="26">
        <v>50</v>
      </c>
      <c r="G170" s="26">
        <v>50</v>
      </c>
      <c r="H170" s="33">
        <f t="shared" si="49"/>
        <v>100</v>
      </c>
      <c r="I170" s="26">
        <v>48</v>
      </c>
      <c r="J170" s="26">
        <v>48</v>
      </c>
      <c r="K170" s="33">
        <f t="shared" si="50"/>
        <v>96</v>
      </c>
      <c r="L170" s="26">
        <v>45</v>
      </c>
      <c r="M170" s="26">
        <v>50</v>
      </c>
      <c r="N170" s="33">
        <f t="shared" si="51"/>
        <v>95</v>
      </c>
      <c r="O170" s="26">
        <v>35</v>
      </c>
      <c r="P170" s="26">
        <v>38</v>
      </c>
      <c r="Q170" s="33">
        <f t="shared" si="52"/>
        <v>73</v>
      </c>
      <c r="R170" s="26">
        <v>49</v>
      </c>
      <c r="S170" s="26">
        <v>48</v>
      </c>
      <c r="T170" s="33">
        <f t="shared" si="53"/>
        <v>97</v>
      </c>
      <c r="U170" s="26">
        <v>46</v>
      </c>
      <c r="V170" s="26">
        <v>46</v>
      </c>
      <c r="W170" s="33">
        <f t="shared" si="54"/>
        <v>92</v>
      </c>
      <c r="X170" s="30"/>
      <c r="Y170" s="30"/>
      <c r="Z170" s="30"/>
      <c r="AA170" s="33">
        <f t="shared" si="55"/>
        <v>653</v>
      </c>
      <c r="AB170" s="26" t="s">
        <v>117</v>
      </c>
      <c r="AC170" s="28"/>
    </row>
    <row r="171" spans="1:29" ht="15.6" x14ac:dyDescent="0.3">
      <c r="A171" s="3" t="s">
        <v>389</v>
      </c>
      <c r="B171" s="11"/>
      <c r="C171" s="8"/>
      <c r="D171" s="8"/>
      <c r="E171" s="8"/>
      <c r="F171" s="22"/>
      <c r="G171" s="22" t="s">
        <v>468</v>
      </c>
      <c r="H171" s="22"/>
      <c r="I171" s="22"/>
      <c r="J171" s="22"/>
      <c r="K171" s="22"/>
      <c r="L171" s="22"/>
      <c r="M171" s="22"/>
      <c r="N171" s="22"/>
      <c r="O171" s="22" t="s">
        <v>82</v>
      </c>
      <c r="P171" s="22"/>
      <c r="Q171" s="22"/>
      <c r="R171" s="22"/>
      <c r="S171" s="22"/>
      <c r="T171" s="22"/>
      <c r="U171" s="22" t="s">
        <v>83</v>
      </c>
      <c r="V171" s="22"/>
      <c r="W171" s="22"/>
      <c r="X171" s="22"/>
      <c r="Y171" s="22"/>
      <c r="Z171" s="22"/>
      <c r="AA171" s="7"/>
      <c r="AB171" s="5" t="s">
        <v>84</v>
      </c>
      <c r="AC171" s="5"/>
    </row>
    <row r="172" spans="1:29" x14ac:dyDescent="0.25">
      <c r="A172" s="22" t="s">
        <v>89</v>
      </c>
      <c r="B172" s="22"/>
      <c r="C172" s="22"/>
      <c r="D172" s="22"/>
      <c r="E172" s="22"/>
      <c r="F172" s="22" t="s">
        <v>90</v>
      </c>
      <c r="G172" s="22"/>
      <c r="H172" s="22"/>
      <c r="I172" s="22"/>
      <c r="J172" s="22"/>
      <c r="K172" s="22"/>
      <c r="L172" s="22"/>
      <c r="M172" s="22"/>
      <c r="N172" s="22" t="s">
        <v>462</v>
      </c>
      <c r="O172" s="22"/>
      <c r="P172" s="22"/>
      <c r="Q172" s="22"/>
      <c r="R172" s="22"/>
      <c r="S172" s="22"/>
      <c r="T172" s="22" t="s">
        <v>463</v>
      </c>
      <c r="U172" s="22"/>
      <c r="V172" s="22"/>
      <c r="W172" s="22"/>
      <c r="X172" s="22"/>
      <c r="Y172" s="22"/>
      <c r="Z172" s="3"/>
      <c r="AA172" s="3"/>
      <c r="AB172" s="3" t="s">
        <v>85</v>
      </c>
      <c r="AC172" s="3"/>
    </row>
    <row r="173" spans="1:29" x14ac:dyDescent="0.25">
      <c r="A173" s="22" t="s">
        <v>466</v>
      </c>
      <c r="B173" s="22"/>
      <c r="C173" s="22"/>
      <c r="D173" s="22"/>
      <c r="E173" s="22"/>
      <c r="F173" s="22" t="s">
        <v>91</v>
      </c>
      <c r="G173" s="22"/>
      <c r="H173" s="22"/>
      <c r="I173" s="22"/>
      <c r="J173" s="22"/>
      <c r="K173" s="22"/>
      <c r="L173" s="22"/>
      <c r="M173" s="22"/>
      <c r="N173" s="22" t="s">
        <v>94</v>
      </c>
      <c r="O173" s="22"/>
      <c r="P173" s="22"/>
      <c r="Q173" s="22"/>
      <c r="R173" s="22"/>
      <c r="S173" s="22"/>
      <c r="T173" s="22" t="s">
        <v>97</v>
      </c>
      <c r="U173" s="22"/>
      <c r="V173" s="22"/>
      <c r="W173" s="22"/>
      <c r="X173" s="22"/>
      <c r="Y173" s="22"/>
      <c r="Z173" s="3"/>
      <c r="AA173" s="3"/>
      <c r="AB173" s="3" t="s">
        <v>99</v>
      </c>
      <c r="AC173" s="3"/>
    </row>
    <row r="174" spans="1:29" x14ac:dyDescent="0.25">
      <c r="A174" s="22" t="s">
        <v>89</v>
      </c>
      <c r="B174" s="22"/>
      <c r="C174" s="22"/>
      <c r="D174" s="22"/>
      <c r="E174" s="22"/>
      <c r="F174" s="22" t="s">
        <v>92</v>
      </c>
      <c r="G174" s="22"/>
      <c r="H174" s="22"/>
      <c r="I174" s="22"/>
      <c r="J174" s="22"/>
      <c r="K174" s="22"/>
      <c r="L174" s="22"/>
      <c r="M174" s="22"/>
      <c r="N174" s="22" t="s">
        <v>95</v>
      </c>
      <c r="O174" s="22"/>
      <c r="P174" s="22"/>
      <c r="Q174" s="22"/>
      <c r="R174" s="22"/>
      <c r="S174" s="22"/>
      <c r="T174" s="22" t="s">
        <v>98</v>
      </c>
      <c r="U174" s="22"/>
      <c r="V174" s="22"/>
      <c r="W174" s="22"/>
      <c r="X174" s="22"/>
      <c r="Y174" s="22"/>
      <c r="Z174" s="3"/>
    </row>
    <row r="177" spans="1:29" ht="15.6" x14ac:dyDescent="0.3">
      <c r="A177" s="6"/>
      <c r="B177" s="15" t="s">
        <v>494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 t="s">
        <v>467</v>
      </c>
      <c r="N177" s="6"/>
      <c r="O177" s="6"/>
      <c r="P177" s="6"/>
      <c r="Q177" s="6"/>
      <c r="R177" s="6"/>
      <c r="S177" s="6"/>
      <c r="T177" s="6"/>
      <c r="U177" s="6"/>
      <c r="V177" s="6"/>
      <c r="W177" s="5"/>
      <c r="X177" s="6"/>
      <c r="Y177" s="6"/>
      <c r="Z177" s="6"/>
      <c r="AA177" s="5" t="s">
        <v>456</v>
      </c>
      <c r="AB177" s="6"/>
      <c r="AC177" s="6"/>
    </row>
    <row r="178" spans="1:29" ht="15.6" x14ac:dyDescent="0.3">
      <c r="A178" s="6"/>
      <c r="B178" s="15" t="s">
        <v>81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5"/>
      <c r="X178" s="6"/>
      <c r="Y178" s="6"/>
      <c r="Z178" s="6"/>
      <c r="AA178" s="5" t="s">
        <v>100</v>
      </c>
      <c r="AB178" s="5"/>
      <c r="AC178" s="6"/>
    </row>
    <row r="179" spans="1:29" ht="15.6" x14ac:dyDescent="0.3">
      <c r="A179" s="6"/>
      <c r="B179" s="15" t="s">
        <v>459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5"/>
      <c r="X179" s="6"/>
      <c r="Y179" s="6"/>
      <c r="Z179" s="6"/>
      <c r="AA179" s="5" t="s">
        <v>247</v>
      </c>
      <c r="AB179" s="5"/>
      <c r="AC179" s="6"/>
    </row>
    <row r="180" spans="1:29" ht="15.6" x14ac:dyDescent="0.3">
      <c r="A180" s="6"/>
      <c r="B180" s="15" t="s">
        <v>460</v>
      </c>
      <c r="C180" s="6"/>
      <c r="D180" s="6"/>
      <c r="E180" s="6"/>
      <c r="F180" s="6"/>
      <c r="G180" s="6"/>
      <c r="H180" s="6"/>
      <c r="I180" s="6"/>
      <c r="J180" s="6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5"/>
      <c r="X180" s="6"/>
      <c r="Y180" s="6"/>
      <c r="Z180" s="6"/>
      <c r="AA180" s="5" t="s">
        <v>517</v>
      </c>
      <c r="AB180" s="5"/>
      <c r="AC180" s="6"/>
    </row>
    <row r="181" spans="1:29" ht="15.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5"/>
      <c r="X181" s="6"/>
      <c r="Y181" s="6"/>
      <c r="Z181" s="6"/>
      <c r="AA181" s="5" t="s">
        <v>157</v>
      </c>
      <c r="AB181" s="5"/>
      <c r="AC181" s="6"/>
    </row>
    <row r="182" spans="1:29" ht="15.6" x14ac:dyDescent="0.3">
      <c r="A182" s="6"/>
      <c r="B182" s="6"/>
      <c r="C182" s="5" t="s">
        <v>482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5"/>
      <c r="X182" s="6"/>
      <c r="Y182" s="6"/>
      <c r="Z182" s="6"/>
      <c r="AA182" s="5"/>
      <c r="AB182" s="5"/>
      <c r="AC182" s="5"/>
    </row>
    <row r="183" spans="1:29" ht="15.6" x14ac:dyDescent="0.3">
      <c r="A183" s="57" t="s">
        <v>0</v>
      </c>
      <c r="B183" s="66" t="s">
        <v>469</v>
      </c>
      <c r="C183" s="60" t="s">
        <v>458</v>
      </c>
      <c r="D183" s="61"/>
      <c r="E183" s="62"/>
      <c r="F183" s="60" t="s">
        <v>1</v>
      </c>
      <c r="G183" s="61"/>
      <c r="H183" s="62"/>
      <c r="I183" s="60" t="s">
        <v>2</v>
      </c>
      <c r="J183" s="61"/>
      <c r="K183" s="62"/>
      <c r="L183" s="60" t="s">
        <v>8</v>
      </c>
      <c r="M183" s="61"/>
      <c r="N183" s="62"/>
      <c r="O183" s="60" t="s">
        <v>3</v>
      </c>
      <c r="P183" s="61"/>
      <c r="Q183" s="62"/>
      <c r="R183" s="31"/>
      <c r="S183" s="31" t="s">
        <v>4</v>
      </c>
      <c r="T183" s="31"/>
      <c r="U183" s="60" t="s">
        <v>5</v>
      </c>
      <c r="V183" s="61"/>
      <c r="W183" s="62"/>
      <c r="X183" s="57" t="s">
        <v>16</v>
      </c>
      <c r="Y183" s="57" t="s">
        <v>17</v>
      </c>
      <c r="Z183" s="57" t="s">
        <v>18</v>
      </c>
      <c r="AA183" s="57" t="s">
        <v>19</v>
      </c>
      <c r="AB183" s="57" t="s">
        <v>20</v>
      </c>
      <c r="AC183" s="57" t="s">
        <v>21</v>
      </c>
    </row>
    <row r="184" spans="1:29" ht="55.2" x14ac:dyDescent="0.25">
      <c r="A184" s="58"/>
      <c r="B184" s="67"/>
      <c r="C184" s="32" t="s">
        <v>6</v>
      </c>
      <c r="D184" s="32" t="s">
        <v>461</v>
      </c>
      <c r="E184" s="32" t="s">
        <v>7</v>
      </c>
      <c r="F184" s="32" t="s">
        <v>6</v>
      </c>
      <c r="G184" s="32" t="s">
        <v>461</v>
      </c>
      <c r="H184" s="32" t="s">
        <v>7</v>
      </c>
      <c r="I184" s="32" t="s">
        <v>6</v>
      </c>
      <c r="J184" s="32" t="s">
        <v>461</v>
      </c>
      <c r="K184" s="32" t="s">
        <v>7</v>
      </c>
      <c r="L184" s="32" t="s">
        <v>6</v>
      </c>
      <c r="M184" s="32" t="s">
        <v>461</v>
      </c>
      <c r="N184" s="32" t="s">
        <v>7</v>
      </c>
      <c r="O184" s="32" t="s">
        <v>6</v>
      </c>
      <c r="P184" s="32" t="s">
        <v>461</v>
      </c>
      <c r="Q184" s="32" t="s">
        <v>7</v>
      </c>
      <c r="R184" s="32" t="s">
        <v>6</v>
      </c>
      <c r="S184" s="32" t="s">
        <v>461</v>
      </c>
      <c r="T184" s="32" t="s">
        <v>7</v>
      </c>
      <c r="U184" s="32" t="s">
        <v>6</v>
      </c>
      <c r="V184" s="32" t="s">
        <v>461</v>
      </c>
      <c r="W184" s="32" t="s">
        <v>7</v>
      </c>
      <c r="X184" s="58"/>
      <c r="Y184" s="58"/>
      <c r="Z184" s="58"/>
      <c r="AA184" s="58"/>
      <c r="AB184" s="58"/>
      <c r="AC184" s="58"/>
    </row>
    <row r="185" spans="1:29" ht="15.6" x14ac:dyDescent="0.3">
      <c r="A185" s="59"/>
      <c r="B185" s="68"/>
      <c r="C185" s="33">
        <v>50</v>
      </c>
      <c r="D185" s="33">
        <v>50</v>
      </c>
      <c r="E185" s="33">
        <v>100</v>
      </c>
      <c r="F185" s="33">
        <v>50</v>
      </c>
      <c r="G185" s="33">
        <v>50</v>
      </c>
      <c r="H185" s="33">
        <v>100</v>
      </c>
      <c r="I185" s="33">
        <v>50</v>
      </c>
      <c r="J185" s="33">
        <v>50</v>
      </c>
      <c r="K185" s="33">
        <v>100</v>
      </c>
      <c r="L185" s="33">
        <v>50</v>
      </c>
      <c r="M185" s="33">
        <v>50</v>
      </c>
      <c r="N185" s="33">
        <v>100</v>
      </c>
      <c r="O185" s="33">
        <v>50</v>
      </c>
      <c r="P185" s="33">
        <v>50</v>
      </c>
      <c r="Q185" s="33">
        <v>100</v>
      </c>
      <c r="R185" s="33">
        <v>50</v>
      </c>
      <c r="S185" s="33">
        <v>50</v>
      </c>
      <c r="T185" s="33">
        <v>100</v>
      </c>
      <c r="U185" s="33">
        <v>50</v>
      </c>
      <c r="V185" s="33">
        <v>50</v>
      </c>
      <c r="W185" s="33">
        <v>100</v>
      </c>
      <c r="X185" s="59"/>
      <c r="Y185" s="59"/>
      <c r="Z185" s="59"/>
      <c r="AA185" s="59"/>
      <c r="AB185" s="59"/>
      <c r="AC185" s="59"/>
    </row>
    <row r="186" spans="1:29" ht="15.6" x14ac:dyDescent="0.3">
      <c r="A186" s="26">
        <v>1</v>
      </c>
      <c r="B186" s="27" t="s">
        <v>406</v>
      </c>
      <c r="C186" s="26">
        <v>50</v>
      </c>
      <c r="D186" s="26">
        <v>50</v>
      </c>
      <c r="E186" s="33">
        <f t="shared" ref="E186:E205" si="56">SUM(C186:D186)</f>
        <v>100</v>
      </c>
      <c r="F186" s="26">
        <v>50</v>
      </c>
      <c r="G186" s="26">
        <v>50</v>
      </c>
      <c r="H186" s="33">
        <f t="shared" ref="H186:H205" si="57">SUM(F186:G186)</f>
        <v>100</v>
      </c>
      <c r="I186" s="26">
        <v>49</v>
      </c>
      <c r="J186" s="26">
        <v>48</v>
      </c>
      <c r="K186" s="33">
        <f t="shared" ref="K186:K205" si="58">SUM(I186:J186)</f>
        <v>97</v>
      </c>
      <c r="L186" s="26">
        <v>48</v>
      </c>
      <c r="M186" s="26">
        <v>50</v>
      </c>
      <c r="N186" s="33">
        <f t="shared" ref="N186:N205" si="59">SUM(L186:M186)</f>
        <v>98</v>
      </c>
      <c r="O186" s="26">
        <v>47</v>
      </c>
      <c r="P186" s="26">
        <v>50</v>
      </c>
      <c r="Q186" s="33">
        <f t="shared" ref="Q186:Q205" si="60">SUM(O186:P186)</f>
        <v>97</v>
      </c>
      <c r="R186" s="26">
        <v>50</v>
      </c>
      <c r="S186" s="26">
        <v>50</v>
      </c>
      <c r="T186" s="33">
        <f t="shared" ref="T186:T205" si="61">SUM(R186:S186)</f>
        <v>100</v>
      </c>
      <c r="U186" s="26">
        <v>47</v>
      </c>
      <c r="V186" s="26">
        <v>48</v>
      </c>
      <c r="W186" s="33">
        <f t="shared" ref="W186:W205" si="62">SUM(U186:V186)</f>
        <v>95</v>
      </c>
      <c r="X186" s="30"/>
      <c r="Y186" s="30"/>
      <c r="Z186" s="30"/>
      <c r="AA186" s="33">
        <f t="shared" ref="AA186:AA205" si="63">SUM(W186,T186,Q186,N186,K186,H186,E186)</f>
        <v>687</v>
      </c>
      <c r="AB186" s="26" t="s">
        <v>117</v>
      </c>
      <c r="AC186" s="28"/>
    </row>
    <row r="187" spans="1:29" ht="15.6" x14ac:dyDescent="0.3">
      <c r="A187" s="26">
        <v>2</v>
      </c>
      <c r="B187" s="27" t="s">
        <v>407</v>
      </c>
      <c r="C187" s="26">
        <v>25</v>
      </c>
      <c r="D187" s="26">
        <v>25</v>
      </c>
      <c r="E187" s="33">
        <f t="shared" si="56"/>
        <v>50</v>
      </c>
      <c r="F187" s="26">
        <v>29</v>
      </c>
      <c r="G187" s="26">
        <v>28</v>
      </c>
      <c r="H187" s="33">
        <f t="shared" si="57"/>
        <v>57</v>
      </c>
      <c r="I187" s="26">
        <v>21</v>
      </c>
      <c r="J187" s="26">
        <v>39</v>
      </c>
      <c r="K187" s="33">
        <f t="shared" si="58"/>
        <v>60</v>
      </c>
      <c r="L187" s="26">
        <v>11</v>
      </c>
      <c r="M187" s="26">
        <v>39</v>
      </c>
      <c r="N187" s="33">
        <f t="shared" si="59"/>
        <v>50</v>
      </c>
      <c r="O187" s="26">
        <v>22</v>
      </c>
      <c r="P187" s="26">
        <v>28</v>
      </c>
      <c r="Q187" s="33">
        <f t="shared" si="60"/>
        <v>50</v>
      </c>
      <c r="R187" s="26">
        <v>12</v>
      </c>
      <c r="S187" s="26">
        <v>38</v>
      </c>
      <c r="T187" s="33">
        <f t="shared" si="61"/>
        <v>50</v>
      </c>
      <c r="U187" s="26">
        <v>16</v>
      </c>
      <c r="V187" s="26">
        <v>34</v>
      </c>
      <c r="W187" s="33">
        <f t="shared" si="62"/>
        <v>50</v>
      </c>
      <c r="X187" s="30"/>
      <c r="Y187" s="30"/>
      <c r="Z187" s="30"/>
      <c r="AA187" s="33">
        <f t="shared" si="63"/>
        <v>367</v>
      </c>
      <c r="AB187" s="26" t="s">
        <v>117</v>
      </c>
      <c r="AC187" s="28"/>
    </row>
    <row r="188" spans="1:29" ht="15.6" x14ac:dyDescent="0.3">
      <c r="A188" s="26">
        <v>3</v>
      </c>
      <c r="B188" s="27" t="s">
        <v>408</v>
      </c>
      <c r="C188" s="26">
        <v>45</v>
      </c>
      <c r="D188" s="26">
        <v>42</v>
      </c>
      <c r="E188" s="33">
        <f t="shared" si="56"/>
        <v>87</v>
      </c>
      <c r="F188" s="26">
        <v>42</v>
      </c>
      <c r="G188" s="26">
        <v>49</v>
      </c>
      <c r="H188" s="33">
        <f t="shared" si="57"/>
        <v>91</v>
      </c>
      <c r="I188" s="26">
        <v>44</v>
      </c>
      <c r="J188" s="26">
        <v>43</v>
      </c>
      <c r="K188" s="33">
        <f t="shared" si="58"/>
        <v>87</v>
      </c>
      <c r="L188" s="26">
        <v>46</v>
      </c>
      <c r="M188" s="26">
        <v>43</v>
      </c>
      <c r="N188" s="33">
        <f t="shared" si="59"/>
        <v>89</v>
      </c>
      <c r="O188" s="26">
        <v>35</v>
      </c>
      <c r="P188" s="26">
        <v>42</v>
      </c>
      <c r="Q188" s="33">
        <f t="shared" si="60"/>
        <v>77</v>
      </c>
      <c r="R188" s="26">
        <v>42</v>
      </c>
      <c r="S188" s="26">
        <v>47</v>
      </c>
      <c r="T188" s="33">
        <f t="shared" si="61"/>
        <v>89</v>
      </c>
      <c r="U188" s="26">
        <v>36</v>
      </c>
      <c r="V188" s="26">
        <v>43</v>
      </c>
      <c r="W188" s="33">
        <f t="shared" si="62"/>
        <v>79</v>
      </c>
      <c r="X188" s="30"/>
      <c r="Y188" s="30"/>
      <c r="Z188" s="30"/>
      <c r="AA188" s="33">
        <f t="shared" si="63"/>
        <v>599</v>
      </c>
      <c r="AB188" s="26" t="s">
        <v>117</v>
      </c>
      <c r="AC188" s="28"/>
    </row>
    <row r="189" spans="1:29" ht="15.6" x14ac:dyDescent="0.3">
      <c r="A189" s="26">
        <v>4</v>
      </c>
      <c r="B189" s="29" t="s">
        <v>409</v>
      </c>
      <c r="C189" s="26">
        <v>49</v>
      </c>
      <c r="D189" s="26">
        <v>43</v>
      </c>
      <c r="E189" s="33">
        <f t="shared" si="56"/>
        <v>92</v>
      </c>
      <c r="F189" s="26">
        <v>50</v>
      </c>
      <c r="G189" s="26">
        <v>48</v>
      </c>
      <c r="H189" s="33">
        <f t="shared" si="57"/>
        <v>98</v>
      </c>
      <c r="I189" s="26">
        <v>46</v>
      </c>
      <c r="J189" s="26">
        <v>39</v>
      </c>
      <c r="K189" s="33">
        <f t="shared" si="58"/>
        <v>85</v>
      </c>
      <c r="L189" s="26">
        <v>46</v>
      </c>
      <c r="M189" s="26">
        <v>41</v>
      </c>
      <c r="N189" s="33">
        <f t="shared" si="59"/>
        <v>87</v>
      </c>
      <c r="O189" s="26">
        <v>31</v>
      </c>
      <c r="P189" s="26">
        <v>31</v>
      </c>
      <c r="Q189" s="33">
        <f t="shared" si="60"/>
        <v>62</v>
      </c>
      <c r="R189" s="26">
        <v>44</v>
      </c>
      <c r="S189" s="26">
        <v>48</v>
      </c>
      <c r="T189" s="33">
        <f t="shared" si="61"/>
        <v>92</v>
      </c>
      <c r="U189" s="26">
        <v>41</v>
      </c>
      <c r="V189" s="26">
        <v>42</v>
      </c>
      <c r="W189" s="33">
        <f t="shared" si="62"/>
        <v>83</v>
      </c>
      <c r="X189" s="30"/>
      <c r="Y189" s="30"/>
      <c r="Z189" s="30"/>
      <c r="AA189" s="33">
        <f t="shared" si="63"/>
        <v>599</v>
      </c>
      <c r="AB189" s="26" t="s">
        <v>117</v>
      </c>
      <c r="AC189" s="28"/>
    </row>
    <row r="190" spans="1:29" ht="15.6" x14ac:dyDescent="0.3">
      <c r="A190" s="26">
        <v>5</v>
      </c>
      <c r="B190" s="29" t="s">
        <v>442</v>
      </c>
      <c r="C190" s="26">
        <v>48</v>
      </c>
      <c r="D190" s="26">
        <v>48</v>
      </c>
      <c r="E190" s="33">
        <f t="shared" si="56"/>
        <v>96</v>
      </c>
      <c r="F190" s="26">
        <v>50</v>
      </c>
      <c r="G190" s="26">
        <v>50</v>
      </c>
      <c r="H190" s="33">
        <f t="shared" si="57"/>
        <v>100</v>
      </c>
      <c r="I190" s="26">
        <v>48</v>
      </c>
      <c r="J190" s="26">
        <v>45</v>
      </c>
      <c r="K190" s="33">
        <f t="shared" si="58"/>
        <v>93</v>
      </c>
      <c r="L190" s="26">
        <v>47</v>
      </c>
      <c r="M190" s="26">
        <v>48</v>
      </c>
      <c r="N190" s="33">
        <f t="shared" si="59"/>
        <v>95</v>
      </c>
      <c r="O190" s="26">
        <v>32</v>
      </c>
      <c r="P190" s="26">
        <v>46</v>
      </c>
      <c r="Q190" s="33">
        <f t="shared" si="60"/>
        <v>78</v>
      </c>
      <c r="R190" s="26">
        <v>48</v>
      </c>
      <c r="S190" s="26">
        <v>48</v>
      </c>
      <c r="T190" s="33">
        <f t="shared" si="61"/>
        <v>96</v>
      </c>
      <c r="U190" s="26">
        <v>42</v>
      </c>
      <c r="V190" s="26">
        <v>43</v>
      </c>
      <c r="W190" s="33">
        <f t="shared" si="62"/>
        <v>85</v>
      </c>
      <c r="X190" s="30"/>
      <c r="Y190" s="30"/>
      <c r="Z190" s="30"/>
      <c r="AA190" s="33">
        <f t="shared" si="63"/>
        <v>643</v>
      </c>
      <c r="AB190" s="26" t="s">
        <v>117</v>
      </c>
      <c r="AC190" s="28"/>
    </row>
    <row r="191" spans="1:29" ht="15.6" x14ac:dyDescent="0.3">
      <c r="A191" s="26">
        <v>6</v>
      </c>
      <c r="B191" s="29" t="s">
        <v>410</v>
      </c>
      <c r="C191" s="26">
        <v>25</v>
      </c>
      <c r="D191" s="26">
        <v>25</v>
      </c>
      <c r="E191" s="33">
        <f t="shared" si="56"/>
        <v>50</v>
      </c>
      <c r="F191" s="26">
        <v>40</v>
      </c>
      <c r="G191" s="26">
        <v>30</v>
      </c>
      <c r="H191" s="33">
        <f t="shared" si="57"/>
        <v>70</v>
      </c>
      <c r="I191" s="26">
        <v>27</v>
      </c>
      <c r="J191" s="26">
        <v>23</v>
      </c>
      <c r="K191" s="33">
        <f t="shared" si="58"/>
        <v>50</v>
      </c>
      <c r="L191" s="26">
        <v>34</v>
      </c>
      <c r="M191" s="26">
        <v>25</v>
      </c>
      <c r="N191" s="33">
        <f t="shared" si="59"/>
        <v>59</v>
      </c>
      <c r="O191" s="26">
        <v>33</v>
      </c>
      <c r="P191" s="26">
        <v>17</v>
      </c>
      <c r="Q191" s="33">
        <f t="shared" si="60"/>
        <v>50</v>
      </c>
      <c r="R191" s="26">
        <v>25</v>
      </c>
      <c r="S191" s="26">
        <v>27</v>
      </c>
      <c r="T191" s="33">
        <f t="shared" si="61"/>
        <v>52</v>
      </c>
      <c r="U191" s="26">
        <v>25</v>
      </c>
      <c r="V191" s="26">
        <v>28</v>
      </c>
      <c r="W191" s="33">
        <f t="shared" si="62"/>
        <v>53</v>
      </c>
      <c r="X191" s="30"/>
      <c r="Y191" s="30"/>
      <c r="Z191" s="30"/>
      <c r="AA191" s="33">
        <f t="shared" si="63"/>
        <v>384</v>
      </c>
      <c r="AB191" s="26" t="s">
        <v>117</v>
      </c>
      <c r="AC191" s="28"/>
    </row>
    <row r="192" spans="1:29" ht="15.6" x14ac:dyDescent="0.3">
      <c r="A192" s="26">
        <v>7</v>
      </c>
      <c r="B192" s="29" t="s">
        <v>541</v>
      </c>
      <c r="C192" s="26">
        <v>25</v>
      </c>
      <c r="D192" s="26">
        <v>25</v>
      </c>
      <c r="E192" s="33">
        <f t="shared" si="56"/>
        <v>50</v>
      </c>
      <c r="F192" s="26">
        <v>29</v>
      </c>
      <c r="G192" s="26">
        <v>32</v>
      </c>
      <c r="H192" s="33">
        <f t="shared" si="57"/>
        <v>61</v>
      </c>
      <c r="I192" s="26">
        <v>25</v>
      </c>
      <c r="J192" s="26">
        <v>26</v>
      </c>
      <c r="K192" s="33">
        <f t="shared" si="58"/>
        <v>51</v>
      </c>
      <c r="L192" s="26">
        <v>19</v>
      </c>
      <c r="M192" s="26">
        <v>31</v>
      </c>
      <c r="N192" s="33">
        <f t="shared" si="59"/>
        <v>50</v>
      </c>
      <c r="O192" s="26">
        <v>32</v>
      </c>
      <c r="P192" s="26">
        <v>22</v>
      </c>
      <c r="Q192" s="33">
        <f t="shared" si="60"/>
        <v>54</v>
      </c>
      <c r="R192" s="26">
        <v>15</v>
      </c>
      <c r="S192" s="26">
        <v>35</v>
      </c>
      <c r="T192" s="33">
        <f t="shared" si="61"/>
        <v>50</v>
      </c>
      <c r="U192" s="26">
        <v>17</v>
      </c>
      <c r="V192" s="26">
        <v>33</v>
      </c>
      <c r="W192" s="33">
        <f t="shared" si="62"/>
        <v>50</v>
      </c>
      <c r="X192" s="30"/>
      <c r="Y192" s="30"/>
      <c r="Z192" s="30"/>
      <c r="AA192" s="33">
        <f t="shared" si="63"/>
        <v>366</v>
      </c>
      <c r="AB192" s="26" t="s">
        <v>117</v>
      </c>
      <c r="AC192" s="28"/>
    </row>
    <row r="193" spans="1:29" ht="15.6" x14ac:dyDescent="0.3">
      <c r="A193" s="26">
        <v>8</v>
      </c>
      <c r="B193" s="29" t="s">
        <v>542</v>
      </c>
      <c r="C193" s="26">
        <v>44</v>
      </c>
      <c r="D193" s="26">
        <v>43</v>
      </c>
      <c r="E193" s="33">
        <f t="shared" si="56"/>
        <v>87</v>
      </c>
      <c r="F193" s="26">
        <v>47</v>
      </c>
      <c r="G193" s="26">
        <v>42</v>
      </c>
      <c r="H193" s="33">
        <f t="shared" si="57"/>
        <v>89</v>
      </c>
      <c r="I193" s="26">
        <v>40</v>
      </c>
      <c r="J193" s="26">
        <v>32</v>
      </c>
      <c r="K193" s="33">
        <f t="shared" si="58"/>
        <v>72</v>
      </c>
      <c r="L193" s="26">
        <v>44</v>
      </c>
      <c r="M193" s="26">
        <v>36</v>
      </c>
      <c r="N193" s="33">
        <f t="shared" si="59"/>
        <v>80</v>
      </c>
      <c r="O193" s="26">
        <v>32</v>
      </c>
      <c r="P193" s="26">
        <v>29</v>
      </c>
      <c r="Q193" s="33">
        <f t="shared" si="60"/>
        <v>61</v>
      </c>
      <c r="R193" s="26">
        <v>33</v>
      </c>
      <c r="S193" s="26">
        <v>46</v>
      </c>
      <c r="T193" s="33">
        <f t="shared" si="61"/>
        <v>79</v>
      </c>
      <c r="U193" s="26">
        <v>29</v>
      </c>
      <c r="V193" s="26">
        <v>42</v>
      </c>
      <c r="W193" s="33">
        <f t="shared" si="62"/>
        <v>71</v>
      </c>
      <c r="X193" s="30"/>
      <c r="Y193" s="30"/>
      <c r="Z193" s="30"/>
      <c r="AA193" s="33">
        <f t="shared" si="63"/>
        <v>539</v>
      </c>
      <c r="AB193" s="26" t="s">
        <v>117</v>
      </c>
      <c r="AC193" s="28"/>
    </row>
    <row r="194" spans="1:29" ht="15.6" x14ac:dyDescent="0.3">
      <c r="A194" s="26">
        <v>9</v>
      </c>
      <c r="B194" s="29" t="s">
        <v>543</v>
      </c>
      <c r="C194" s="26">
        <v>50</v>
      </c>
      <c r="D194" s="26">
        <v>50</v>
      </c>
      <c r="E194" s="33">
        <f t="shared" si="56"/>
        <v>100</v>
      </c>
      <c r="F194" s="26">
        <v>49</v>
      </c>
      <c r="G194" s="26">
        <v>49</v>
      </c>
      <c r="H194" s="33">
        <f t="shared" si="57"/>
        <v>98</v>
      </c>
      <c r="I194" s="26">
        <v>46</v>
      </c>
      <c r="J194" s="26">
        <v>49</v>
      </c>
      <c r="K194" s="33">
        <f t="shared" si="58"/>
        <v>95</v>
      </c>
      <c r="L194" s="26">
        <v>46</v>
      </c>
      <c r="M194" s="26">
        <v>38</v>
      </c>
      <c r="N194" s="33">
        <f t="shared" si="59"/>
        <v>84</v>
      </c>
      <c r="O194" s="26">
        <v>39</v>
      </c>
      <c r="P194" s="26">
        <v>45</v>
      </c>
      <c r="Q194" s="33">
        <f t="shared" si="60"/>
        <v>84</v>
      </c>
      <c r="R194" s="26">
        <v>49</v>
      </c>
      <c r="S194" s="26">
        <v>50</v>
      </c>
      <c r="T194" s="33">
        <f t="shared" si="61"/>
        <v>99</v>
      </c>
      <c r="U194" s="26">
        <v>38</v>
      </c>
      <c r="V194" s="26">
        <v>49</v>
      </c>
      <c r="W194" s="33">
        <f t="shared" si="62"/>
        <v>87</v>
      </c>
      <c r="X194" s="30"/>
      <c r="Y194" s="30"/>
      <c r="Z194" s="30"/>
      <c r="AA194" s="33">
        <f t="shared" si="63"/>
        <v>647</v>
      </c>
      <c r="AB194" s="26" t="s">
        <v>117</v>
      </c>
      <c r="AC194" s="28"/>
    </row>
    <row r="195" spans="1:29" ht="15.6" x14ac:dyDescent="0.3">
      <c r="A195" s="26">
        <v>10</v>
      </c>
      <c r="B195" s="29" t="s">
        <v>544</v>
      </c>
      <c r="C195" s="26">
        <v>20</v>
      </c>
      <c r="D195" s="26">
        <v>30</v>
      </c>
      <c r="E195" s="33">
        <f t="shared" si="56"/>
        <v>50</v>
      </c>
      <c r="F195" s="26">
        <v>25</v>
      </c>
      <c r="G195" s="26">
        <v>29</v>
      </c>
      <c r="H195" s="33">
        <f t="shared" si="57"/>
        <v>54</v>
      </c>
      <c r="I195" s="26">
        <v>20</v>
      </c>
      <c r="J195" s="26">
        <v>30</v>
      </c>
      <c r="K195" s="33">
        <f t="shared" si="58"/>
        <v>50</v>
      </c>
      <c r="L195" s="26">
        <v>17</v>
      </c>
      <c r="M195" s="26">
        <v>33</v>
      </c>
      <c r="N195" s="33">
        <f t="shared" si="59"/>
        <v>50</v>
      </c>
      <c r="O195" s="26">
        <v>19</v>
      </c>
      <c r="P195" s="26">
        <v>31</v>
      </c>
      <c r="Q195" s="33">
        <f t="shared" si="60"/>
        <v>50</v>
      </c>
      <c r="R195" s="26">
        <v>13</v>
      </c>
      <c r="S195" s="26">
        <v>37</v>
      </c>
      <c r="T195" s="33">
        <f t="shared" si="61"/>
        <v>50</v>
      </c>
      <c r="U195" s="26">
        <v>17</v>
      </c>
      <c r="V195" s="26">
        <v>33</v>
      </c>
      <c r="W195" s="33">
        <f t="shared" si="62"/>
        <v>50</v>
      </c>
      <c r="X195" s="30"/>
      <c r="Y195" s="30"/>
      <c r="Z195" s="30"/>
      <c r="AA195" s="33">
        <f t="shared" si="63"/>
        <v>354</v>
      </c>
      <c r="AB195" s="26" t="s">
        <v>117</v>
      </c>
      <c r="AC195" s="28"/>
    </row>
    <row r="196" spans="1:29" ht="15.6" x14ac:dyDescent="0.3">
      <c r="A196" s="26">
        <v>11</v>
      </c>
      <c r="B196" s="29" t="s">
        <v>411</v>
      </c>
      <c r="C196" s="26">
        <v>25</v>
      </c>
      <c r="D196" s="26">
        <v>25</v>
      </c>
      <c r="E196" s="33">
        <f t="shared" si="56"/>
        <v>50</v>
      </c>
      <c r="F196" s="26">
        <v>25</v>
      </c>
      <c r="G196" s="26">
        <v>28</v>
      </c>
      <c r="H196" s="33">
        <f t="shared" si="57"/>
        <v>53</v>
      </c>
      <c r="I196" s="26">
        <v>25</v>
      </c>
      <c r="J196" s="26">
        <v>27</v>
      </c>
      <c r="K196" s="33">
        <f t="shared" si="58"/>
        <v>52</v>
      </c>
      <c r="L196" s="26">
        <v>33</v>
      </c>
      <c r="M196" s="26">
        <v>24</v>
      </c>
      <c r="N196" s="33">
        <f t="shared" si="59"/>
        <v>57</v>
      </c>
      <c r="O196" s="26">
        <v>25</v>
      </c>
      <c r="P196" s="26">
        <v>25</v>
      </c>
      <c r="Q196" s="33">
        <f t="shared" si="60"/>
        <v>50</v>
      </c>
      <c r="R196" s="26">
        <v>12</v>
      </c>
      <c r="S196" s="26">
        <v>38</v>
      </c>
      <c r="T196" s="33">
        <f t="shared" si="61"/>
        <v>50</v>
      </c>
      <c r="U196" s="26">
        <v>15</v>
      </c>
      <c r="V196" s="26">
        <v>35</v>
      </c>
      <c r="W196" s="33">
        <f t="shared" si="62"/>
        <v>50</v>
      </c>
      <c r="X196" s="30"/>
      <c r="Y196" s="30"/>
      <c r="Z196" s="30"/>
      <c r="AA196" s="33">
        <f t="shared" si="63"/>
        <v>362</v>
      </c>
      <c r="AB196" s="26" t="s">
        <v>117</v>
      </c>
      <c r="AC196" s="28"/>
    </row>
    <row r="197" spans="1:29" ht="15.6" x14ac:dyDescent="0.3">
      <c r="A197" s="26">
        <v>12</v>
      </c>
      <c r="B197" s="29" t="s">
        <v>545</v>
      </c>
      <c r="C197" s="26">
        <v>21</v>
      </c>
      <c r="D197" s="26">
        <v>43</v>
      </c>
      <c r="E197" s="33">
        <f t="shared" si="56"/>
        <v>64</v>
      </c>
      <c r="F197" s="26">
        <v>23</v>
      </c>
      <c r="G197" s="26">
        <v>28</v>
      </c>
      <c r="H197" s="33">
        <f t="shared" si="57"/>
        <v>51</v>
      </c>
      <c r="I197" s="26">
        <v>23</v>
      </c>
      <c r="J197" s="26">
        <v>29</v>
      </c>
      <c r="K197" s="33">
        <f t="shared" si="58"/>
        <v>52</v>
      </c>
      <c r="L197" s="26">
        <v>22</v>
      </c>
      <c r="M197" s="26">
        <v>28</v>
      </c>
      <c r="N197" s="33">
        <f t="shared" si="59"/>
        <v>50</v>
      </c>
      <c r="O197" s="26">
        <v>23</v>
      </c>
      <c r="P197" s="26">
        <v>27</v>
      </c>
      <c r="Q197" s="33">
        <f t="shared" si="60"/>
        <v>50</v>
      </c>
      <c r="R197" s="26">
        <v>12</v>
      </c>
      <c r="S197" s="26">
        <v>38</v>
      </c>
      <c r="T197" s="33">
        <f t="shared" si="61"/>
        <v>50</v>
      </c>
      <c r="U197" s="26">
        <v>15</v>
      </c>
      <c r="V197" s="26">
        <v>35</v>
      </c>
      <c r="W197" s="33">
        <f t="shared" si="62"/>
        <v>50</v>
      </c>
      <c r="X197" s="30"/>
      <c r="Y197" s="30"/>
      <c r="Z197" s="30"/>
      <c r="AA197" s="33">
        <f t="shared" si="63"/>
        <v>367</v>
      </c>
      <c r="AB197" s="26" t="s">
        <v>117</v>
      </c>
      <c r="AC197" s="28"/>
    </row>
    <row r="198" spans="1:29" ht="15.6" x14ac:dyDescent="0.3">
      <c r="A198" s="26">
        <v>13</v>
      </c>
      <c r="B198" s="29" t="s">
        <v>546</v>
      </c>
      <c r="C198" s="26">
        <v>48</v>
      </c>
      <c r="D198" s="26">
        <v>44</v>
      </c>
      <c r="E198" s="33">
        <f t="shared" si="56"/>
        <v>92</v>
      </c>
      <c r="F198" s="26">
        <v>44</v>
      </c>
      <c r="G198" s="26">
        <v>44</v>
      </c>
      <c r="H198" s="33">
        <f t="shared" si="57"/>
        <v>88</v>
      </c>
      <c r="I198" s="26">
        <v>41</v>
      </c>
      <c r="J198" s="26">
        <v>39</v>
      </c>
      <c r="K198" s="33">
        <f t="shared" si="58"/>
        <v>80</v>
      </c>
      <c r="L198" s="26">
        <v>43</v>
      </c>
      <c r="M198" s="26">
        <v>30</v>
      </c>
      <c r="N198" s="33">
        <f t="shared" si="59"/>
        <v>73</v>
      </c>
      <c r="O198" s="26">
        <v>26</v>
      </c>
      <c r="P198" s="26">
        <v>32</v>
      </c>
      <c r="Q198" s="33">
        <f t="shared" si="60"/>
        <v>58</v>
      </c>
      <c r="R198" s="26">
        <v>40</v>
      </c>
      <c r="S198" s="26">
        <v>46</v>
      </c>
      <c r="T198" s="33">
        <f t="shared" si="61"/>
        <v>86</v>
      </c>
      <c r="U198" s="26">
        <v>27</v>
      </c>
      <c r="V198" s="26">
        <v>38</v>
      </c>
      <c r="W198" s="33">
        <f t="shared" si="62"/>
        <v>65</v>
      </c>
      <c r="X198" s="30"/>
      <c r="Y198" s="30"/>
      <c r="Z198" s="30"/>
      <c r="AA198" s="33">
        <f t="shared" si="63"/>
        <v>542</v>
      </c>
      <c r="AB198" s="26" t="s">
        <v>117</v>
      </c>
      <c r="AC198" s="28"/>
    </row>
    <row r="199" spans="1:29" ht="15.6" x14ac:dyDescent="0.3">
      <c r="A199" s="26">
        <v>14</v>
      </c>
      <c r="B199" s="29" t="s">
        <v>641</v>
      </c>
      <c r="C199" s="26">
        <v>35</v>
      </c>
      <c r="D199" s="26">
        <v>32</v>
      </c>
      <c r="E199" s="33">
        <f t="shared" si="56"/>
        <v>67</v>
      </c>
      <c r="F199" s="26">
        <v>42</v>
      </c>
      <c r="G199" s="26">
        <v>44</v>
      </c>
      <c r="H199" s="33">
        <f t="shared" si="57"/>
        <v>86</v>
      </c>
      <c r="I199" s="26">
        <v>28</v>
      </c>
      <c r="J199" s="26">
        <v>36</v>
      </c>
      <c r="K199" s="33">
        <f t="shared" si="58"/>
        <v>64</v>
      </c>
      <c r="L199" s="26">
        <v>36</v>
      </c>
      <c r="M199" s="26">
        <v>26</v>
      </c>
      <c r="N199" s="33">
        <f t="shared" si="59"/>
        <v>62</v>
      </c>
      <c r="O199" s="26">
        <v>28</v>
      </c>
      <c r="P199" s="26">
        <v>35</v>
      </c>
      <c r="Q199" s="33">
        <f t="shared" si="60"/>
        <v>63</v>
      </c>
      <c r="R199" s="26">
        <v>25</v>
      </c>
      <c r="S199" s="26">
        <v>38</v>
      </c>
      <c r="T199" s="33">
        <f t="shared" si="61"/>
        <v>63</v>
      </c>
      <c r="U199" s="26">
        <v>25</v>
      </c>
      <c r="V199" s="26">
        <v>35</v>
      </c>
      <c r="W199" s="33">
        <f t="shared" si="62"/>
        <v>60</v>
      </c>
      <c r="X199" s="30"/>
      <c r="Y199" s="30"/>
      <c r="Z199" s="30"/>
      <c r="AA199" s="33">
        <f t="shared" si="63"/>
        <v>465</v>
      </c>
      <c r="AB199" s="26" t="s">
        <v>117</v>
      </c>
      <c r="AC199" s="28"/>
    </row>
    <row r="200" spans="1:29" ht="15.6" x14ac:dyDescent="0.3">
      <c r="A200" s="26">
        <v>15</v>
      </c>
      <c r="B200" s="27" t="s">
        <v>412</v>
      </c>
      <c r="C200" s="26">
        <v>49</v>
      </c>
      <c r="D200" s="26">
        <v>47</v>
      </c>
      <c r="E200" s="33">
        <f t="shared" si="56"/>
        <v>96</v>
      </c>
      <c r="F200" s="26">
        <v>50</v>
      </c>
      <c r="G200" s="26">
        <v>50</v>
      </c>
      <c r="H200" s="33">
        <f t="shared" si="57"/>
        <v>100</v>
      </c>
      <c r="I200" s="26">
        <v>46</v>
      </c>
      <c r="J200" s="26">
        <v>47</v>
      </c>
      <c r="K200" s="33">
        <f t="shared" si="58"/>
        <v>93</v>
      </c>
      <c r="L200" s="26">
        <v>50</v>
      </c>
      <c r="M200" s="26">
        <v>50</v>
      </c>
      <c r="N200" s="33">
        <f t="shared" si="59"/>
        <v>100</v>
      </c>
      <c r="O200" s="26">
        <v>40</v>
      </c>
      <c r="P200" s="26">
        <v>49</v>
      </c>
      <c r="Q200" s="33">
        <f t="shared" si="60"/>
        <v>89</v>
      </c>
      <c r="R200" s="26">
        <v>46</v>
      </c>
      <c r="S200" s="26">
        <v>48</v>
      </c>
      <c r="T200" s="33">
        <f t="shared" si="61"/>
        <v>94</v>
      </c>
      <c r="U200" s="26">
        <v>47</v>
      </c>
      <c r="V200" s="26">
        <v>50</v>
      </c>
      <c r="W200" s="33">
        <f t="shared" si="62"/>
        <v>97</v>
      </c>
      <c r="X200" s="30"/>
      <c r="Y200" s="30"/>
      <c r="Z200" s="30"/>
      <c r="AA200" s="33">
        <f t="shared" si="63"/>
        <v>669</v>
      </c>
      <c r="AB200" s="26" t="s">
        <v>117</v>
      </c>
      <c r="AC200" s="28"/>
    </row>
    <row r="201" spans="1:29" ht="15.6" x14ac:dyDescent="0.3">
      <c r="A201" s="26">
        <v>16</v>
      </c>
      <c r="B201" s="27" t="s">
        <v>547</v>
      </c>
      <c r="C201" s="26">
        <v>20</v>
      </c>
      <c r="D201" s="26">
        <v>30</v>
      </c>
      <c r="E201" s="33">
        <f t="shared" si="56"/>
        <v>50</v>
      </c>
      <c r="F201" s="26">
        <v>28</v>
      </c>
      <c r="G201" s="26">
        <v>28</v>
      </c>
      <c r="H201" s="33">
        <f t="shared" si="57"/>
        <v>56</v>
      </c>
      <c r="I201" s="26">
        <v>21</v>
      </c>
      <c r="J201" s="26">
        <v>30</v>
      </c>
      <c r="K201" s="33">
        <f t="shared" si="58"/>
        <v>51</v>
      </c>
      <c r="L201" s="26">
        <v>18</v>
      </c>
      <c r="M201" s="26">
        <v>32</v>
      </c>
      <c r="N201" s="33">
        <f t="shared" si="59"/>
        <v>50</v>
      </c>
      <c r="O201" s="26">
        <v>28</v>
      </c>
      <c r="P201" s="26">
        <v>22</v>
      </c>
      <c r="Q201" s="33">
        <f t="shared" si="60"/>
        <v>50</v>
      </c>
      <c r="R201" s="26">
        <v>15</v>
      </c>
      <c r="S201" s="26">
        <v>35</v>
      </c>
      <c r="T201" s="33">
        <f t="shared" si="61"/>
        <v>50</v>
      </c>
      <c r="U201" s="26">
        <v>15</v>
      </c>
      <c r="V201" s="26">
        <v>35</v>
      </c>
      <c r="W201" s="33">
        <f t="shared" si="62"/>
        <v>50</v>
      </c>
      <c r="X201" s="30"/>
      <c r="Y201" s="30"/>
      <c r="Z201" s="30"/>
      <c r="AA201" s="33">
        <f t="shared" si="63"/>
        <v>357</v>
      </c>
      <c r="AB201" s="26" t="s">
        <v>117</v>
      </c>
      <c r="AC201" s="28"/>
    </row>
    <row r="202" spans="1:29" ht="15.6" x14ac:dyDescent="0.3">
      <c r="A202" s="26">
        <v>17</v>
      </c>
      <c r="B202" s="27" t="s">
        <v>548</v>
      </c>
      <c r="C202" s="26">
        <v>20</v>
      </c>
      <c r="D202" s="26">
        <v>30</v>
      </c>
      <c r="E202" s="33">
        <f t="shared" si="56"/>
        <v>50</v>
      </c>
      <c r="F202" s="26">
        <v>27</v>
      </c>
      <c r="G202" s="26">
        <v>30</v>
      </c>
      <c r="H202" s="33">
        <f t="shared" si="57"/>
        <v>57</v>
      </c>
      <c r="I202" s="26">
        <v>22</v>
      </c>
      <c r="J202" s="26">
        <v>29</v>
      </c>
      <c r="K202" s="33">
        <f t="shared" si="58"/>
        <v>51</v>
      </c>
      <c r="L202" s="26">
        <v>30</v>
      </c>
      <c r="M202" s="26">
        <v>30</v>
      </c>
      <c r="N202" s="33">
        <f t="shared" si="59"/>
        <v>60</v>
      </c>
      <c r="O202" s="26">
        <v>26</v>
      </c>
      <c r="P202" s="26">
        <v>25</v>
      </c>
      <c r="Q202" s="33">
        <f t="shared" si="60"/>
        <v>51</v>
      </c>
      <c r="R202" s="26">
        <v>12</v>
      </c>
      <c r="S202" s="26">
        <v>38</v>
      </c>
      <c r="T202" s="33">
        <f t="shared" si="61"/>
        <v>50</v>
      </c>
      <c r="U202" s="26">
        <v>14</v>
      </c>
      <c r="V202" s="26">
        <v>36</v>
      </c>
      <c r="W202" s="33">
        <f t="shared" si="62"/>
        <v>50</v>
      </c>
      <c r="X202" s="30"/>
      <c r="Y202" s="30"/>
      <c r="Z202" s="30"/>
      <c r="AA202" s="33">
        <f t="shared" si="63"/>
        <v>369</v>
      </c>
      <c r="AB202" s="26" t="s">
        <v>117</v>
      </c>
      <c r="AC202" s="28"/>
    </row>
    <row r="203" spans="1:29" ht="15.6" x14ac:dyDescent="0.3">
      <c r="A203" s="26">
        <v>18</v>
      </c>
      <c r="B203" s="27" t="s">
        <v>549</v>
      </c>
      <c r="C203" s="26">
        <v>38</v>
      </c>
      <c r="D203" s="26">
        <v>39</v>
      </c>
      <c r="E203" s="33">
        <f t="shared" si="56"/>
        <v>77</v>
      </c>
      <c r="F203" s="26">
        <v>45</v>
      </c>
      <c r="G203" s="26">
        <v>32</v>
      </c>
      <c r="H203" s="33">
        <f t="shared" si="57"/>
        <v>77</v>
      </c>
      <c r="I203" s="26">
        <v>34</v>
      </c>
      <c r="J203" s="26">
        <v>31</v>
      </c>
      <c r="K203" s="33">
        <f t="shared" si="58"/>
        <v>65</v>
      </c>
      <c r="L203" s="26">
        <v>41</v>
      </c>
      <c r="M203" s="26">
        <v>36</v>
      </c>
      <c r="N203" s="33">
        <f t="shared" si="59"/>
        <v>77</v>
      </c>
      <c r="O203" s="26">
        <v>33</v>
      </c>
      <c r="P203" s="26">
        <v>30</v>
      </c>
      <c r="Q203" s="33">
        <f t="shared" si="60"/>
        <v>63</v>
      </c>
      <c r="R203" s="26">
        <v>32</v>
      </c>
      <c r="S203" s="26">
        <v>34</v>
      </c>
      <c r="T203" s="33">
        <f t="shared" si="61"/>
        <v>66</v>
      </c>
      <c r="U203" s="26">
        <v>26</v>
      </c>
      <c r="V203" s="26">
        <v>32</v>
      </c>
      <c r="W203" s="33">
        <f t="shared" si="62"/>
        <v>58</v>
      </c>
      <c r="X203" s="30"/>
      <c r="Y203" s="30"/>
      <c r="Z203" s="30"/>
      <c r="AA203" s="33">
        <f t="shared" si="63"/>
        <v>483</v>
      </c>
      <c r="AB203" s="26" t="s">
        <v>117</v>
      </c>
      <c r="AC203" s="28"/>
    </row>
    <row r="204" spans="1:29" ht="15.6" x14ac:dyDescent="0.3">
      <c r="A204" s="26">
        <v>19</v>
      </c>
      <c r="B204" s="27" t="s">
        <v>602</v>
      </c>
      <c r="C204" s="26">
        <v>50</v>
      </c>
      <c r="D204" s="26">
        <v>50</v>
      </c>
      <c r="E204" s="33">
        <f t="shared" si="56"/>
        <v>100</v>
      </c>
      <c r="F204" s="26">
        <v>50</v>
      </c>
      <c r="G204" s="26">
        <v>29</v>
      </c>
      <c r="H204" s="33">
        <f t="shared" si="57"/>
        <v>79</v>
      </c>
      <c r="I204" s="26">
        <v>49</v>
      </c>
      <c r="J204" s="26">
        <v>48</v>
      </c>
      <c r="K204" s="33">
        <f t="shared" si="58"/>
        <v>97</v>
      </c>
      <c r="L204" s="26">
        <v>47</v>
      </c>
      <c r="M204" s="26">
        <v>44</v>
      </c>
      <c r="N204" s="33">
        <f t="shared" si="59"/>
        <v>91</v>
      </c>
      <c r="O204" s="26">
        <v>42</v>
      </c>
      <c r="P204" s="26">
        <v>46</v>
      </c>
      <c r="Q204" s="33">
        <f t="shared" si="60"/>
        <v>88</v>
      </c>
      <c r="R204" s="26">
        <v>50</v>
      </c>
      <c r="S204" s="26">
        <v>48</v>
      </c>
      <c r="T204" s="33">
        <f t="shared" si="61"/>
        <v>98</v>
      </c>
      <c r="U204" s="26">
        <v>48</v>
      </c>
      <c r="V204" s="26">
        <v>45</v>
      </c>
      <c r="W204" s="33">
        <f t="shared" si="62"/>
        <v>93</v>
      </c>
      <c r="X204" s="30"/>
      <c r="Y204" s="30"/>
      <c r="Z204" s="30"/>
      <c r="AA204" s="33">
        <f t="shared" si="63"/>
        <v>646</v>
      </c>
      <c r="AB204" s="26" t="s">
        <v>117</v>
      </c>
      <c r="AC204" s="28"/>
    </row>
    <row r="205" spans="1:29" ht="15.6" x14ac:dyDescent="0.3">
      <c r="A205" s="26">
        <v>20</v>
      </c>
      <c r="B205" s="27" t="s">
        <v>511</v>
      </c>
      <c r="C205" s="26">
        <v>25</v>
      </c>
      <c r="D205" s="26">
        <v>25</v>
      </c>
      <c r="E205" s="33">
        <f t="shared" si="56"/>
        <v>50</v>
      </c>
      <c r="F205" s="26">
        <v>26</v>
      </c>
      <c r="G205" s="26">
        <v>34</v>
      </c>
      <c r="H205" s="33">
        <f t="shared" si="57"/>
        <v>60</v>
      </c>
      <c r="I205" s="26">
        <v>26</v>
      </c>
      <c r="J205" s="26">
        <v>29</v>
      </c>
      <c r="K205" s="33">
        <f t="shared" si="58"/>
        <v>55</v>
      </c>
      <c r="L205" s="26">
        <v>26</v>
      </c>
      <c r="M205" s="26">
        <v>25</v>
      </c>
      <c r="N205" s="33">
        <f t="shared" si="59"/>
        <v>51</v>
      </c>
      <c r="O205" s="26">
        <v>26</v>
      </c>
      <c r="P205" s="26">
        <v>31</v>
      </c>
      <c r="Q205" s="33">
        <f t="shared" si="60"/>
        <v>57</v>
      </c>
      <c r="R205" s="26">
        <v>25</v>
      </c>
      <c r="S205" s="26">
        <v>25</v>
      </c>
      <c r="T205" s="33">
        <f t="shared" si="61"/>
        <v>50</v>
      </c>
      <c r="U205" s="26">
        <v>25</v>
      </c>
      <c r="V205" s="26">
        <v>26</v>
      </c>
      <c r="W205" s="33">
        <f t="shared" si="62"/>
        <v>51</v>
      </c>
      <c r="X205" s="30"/>
      <c r="Y205" s="30"/>
      <c r="Z205" s="30"/>
      <c r="AA205" s="33">
        <f t="shared" si="63"/>
        <v>374</v>
      </c>
      <c r="AB205" s="26" t="s">
        <v>117</v>
      </c>
      <c r="AC205" s="28"/>
    </row>
    <row r="206" spans="1:29" ht="15.6" x14ac:dyDescent="0.3">
      <c r="A206" s="3" t="s">
        <v>389</v>
      </c>
      <c r="B206" s="11"/>
      <c r="C206" s="8"/>
      <c r="D206" s="8"/>
      <c r="E206" s="8"/>
      <c r="F206" s="22"/>
      <c r="G206" s="22" t="s">
        <v>468</v>
      </c>
      <c r="H206" s="22"/>
      <c r="I206" s="22"/>
      <c r="J206" s="22"/>
      <c r="K206" s="22"/>
      <c r="L206" s="22"/>
      <c r="M206" s="22"/>
      <c r="N206" s="22"/>
      <c r="O206" s="22" t="s">
        <v>82</v>
      </c>
      <c r="P206" s="22"/>
      <c r="Q206" s="22"/>
      <c r="R206" s="22"/>
      <c r="S206" s="22"/>
      <c r="T206" s="22"/>
      <c r="U206" s="22" t="s">
        <v>83</v>
      </c>
      <c r="V206" s="22"/>
      <c r="W206" s="22"/>
      <c r="X206" s="22"/>
      <c r="Y206" s="22"/>
      <c r="Z206" s="22"/>
      <c r="AA206" s="7"/>
      <c r="AB206" s="5" t="s">
        <v>84</v>
      </c>
      <c r="AC206" s="5"/>
    </row>
    <row r="207" spans="1:29" x14ac:dyDescent="0.25">
      <c r="A207" s="22" t="s">
        <v>89</v>
      </c>
      <c r="B207" s="22"/>
      <c r="C207" s="22"/>
      <c r="D207" s="22"/>
      <c r="E207" s="22"/>
      <c r="F207" s="22" t="s">
        <v>90</v>
      </c>
      <c r="G207" s="22"/>
      <c r="H207" s="22"/>
      <c r="I207" s="22"/>
      <c r="J207" s="22"/>
      <c r="K207" s="22"/>
      <c r="L207" s="22"/>
      <c r="M207" s="22"/>
      <c r="N207" s="22" t="s">
        <v>462</v>
      </c>
      <c r="O207" s="22"/>
      <c r="P207" s="22"/>
      <c r="Q207" s="22"/>
      <c r="R207" s="22"/>
      <c r="S207" s="22"/>
      <c r="T207" s="22" t="s">
        <v>463</v>
      </c>
      <c r="U207" s="22"/>
      <c r="V207" s="22"/>
      <c r="W207" s="22"/>
      <c r="X207" s="22"/>
      <c r="Y207" s="22"/>
      <c r="Z207" s="3"/>
      <c r="AA207" s="3"/>
      <c r="AB207" s="3" t="s">
        <v>85</v>
      </c>
      <c r="AC207" s="3"/>
    </row>
    <row r="208" spans="1:29" x14ac:dyDescent="0.25">
      <c r="A208" s="22" t="s">
        <v>466</v>
      </c>
      <c r="B208" s="22"/>
      <c r="C208" s="22"/>
      <c r="D208" s="22"/>
      <c r="E208" s="22"/>
      <c r="F208" s="22" t="s">
        <v>91</v>
      </c>
      <c r="G208" s="22"/>
      <c r="H208" s="22"/>
      <c r="I208" s="22"/>
      <c r="J208" s="22"/>
      <c r="K208" s="22"/>
      <c r="L208" s="22"/>
      <c r="M208" s="22"/>
      <c r="N208" s="22" t="s">
        <v>94</v>
      </c>
      <c r="O208" s="22"/>
      <c r="P208" s="22"/>
      <c r="Q208" s="22"/>
      <c r="R208" s="22"/>
      <c r="S208" s="22"/>
      <c r="T208" s="22" t="s">
        <v>97</v>
      </c>
      <c r="U208" s="22"/>
      <c r="V208" s="22"/>
      <c r="W208" s="22"/>
      <c r="X208" s="22"/>
      <c r="Y208" s="22"/>
      <c r="Z208" s="3"/>
      <c r="AA208" s="3"/>
      <c r="AB208" s="3" t="s">
        <v>99</v>
      </c>
      <c r="AC208" s="3"/>
    </row>
    <row r="209" spans="1:29" x14ac:dyDescent="0.25">
      <c r="A209" s="22" t="s">
        <v>89</v>
      </c>
      <c r="B209" s="22"/>
      <c r="C209" s="22"/>
      <c r="D209" s="22"/>
      <c r="E209" s="22"/>
      <c r="F209" s="22" t="s">
        <v>92</v>
      </c>
      <c r="G209" s="22"/>
      <c r="H209" s="22"/>
      <c r="I209" s="22"/>
      <c r="J209" s="22"/>
      <c r="K209" s="22"/>
      <c r="L209" s="22"/>
      <c r="M209" s="22"/>
      <c r="N209" s="22" t="s">
        <v>95</v>
      </c>
      <c r="O209" s="22"/>
      <c r="P209" s="22"/>
      <c r="Q209" s="22"/>
      <c r="R209" s="22"/>
      <c r="S209" s="22"/>
      <c r="T209" s="22" t="s">
        <v>98</v>
      </c>
      <c r="U209" s="22"/>
      <c r="V209" s="22"/>
      <c r="W209" s="22"/>
      <c r="X209" s="22"/>
      <c r="Y209" s="22"/>
      <c r="Z209" s="3"/>
    </row>
    <row r="212" spans="1:29" ht="15.6" x14ac:dyDescent="0.3">
      <c r="A212" s="6"/>
      <c r="B212" s="15" t="s">
        <v>494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 t="s">
        <v>467</v>
      </c>
      <c r="N212" s="6"/>
      <c r="O212" s="6"/>
      <c r="P212" s="6"/>
      <c r="Q212" s="6"/>
      <c r="R212" s="6"/>
      <c r="S212" s="6"/>
      <c r="T212" s="6"/>
      <c r="U212" s="6"/>
      <c r="V212" s="6"/>
      <c r="W212" s="5"/>
      <c r="X212" s="6"/>
      <c r="Y212" s="6"/>
      <c r="Z212" s="6"/>
      <c r="AA212" s="5" t="s">
        <v>456</v>
      </c>
      <c r="AB212" s="6"/>
      <c r="AC212" s="6"/>
    </row>
    <row r="213" spans="1:29" ht="15.6" x14ac:dyDescent="0.3">
      <c r="A213" s="6"/>
      <c r="B213" s="15" t="s">
        <v>81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5"/>
      <c r="X213" s="6"/>
      <c r="Y213" s="6"/>
      <c r="Z213" s="6"/>
      <c r="AA213" s="5" t="s">
        <v>100</v>
      </c>
      <c r="AB213" s="5"/>
      <c r="AC213" s="6"/>
    </row>
    <row r="214" spans="1:29" ht="15.6" x14ac:dyDescent="0.3">
      <c r="A214" s="6"/>
      <c r="B214" s="15" t="s">
        <v>459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5"/>
      <c r="X214" s="6"/>
      <c r="Y214" s="6"/>
      <c r="Z214" s="6"/>
      <c r="AA214" s="5" t="s">
        <v>247</v>
      </c>
      <c r="AB214" s="5"/>
      <c r="AC214" s="6"/>
    </row>
    <row r="215" spans="1:29" ht="15.6" x14ac:dyDescent="0.3">
      <c r="A215" s="6"/>
      <c r="B215" s="15" t="s">
        <v>460</v>
      </c>
      <c r="C215" s="6"/>
      <c r="D215" s="6"/>
      <c r="E215" s="6"/>
      <c r="F215" s="6"/>
      <c r="G215" s="6"/>
      <c r="H215" s="6"/>
      <c r="I215" s="6"/>
      <c r="J215" s="6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5"/>
      <c r="X215" s="6"/>
      <c r="Y215" s="6"/>
      <c r="Z215" s="6"/>
      <c r="AA215" s="5" t="s">
        <v>424</v>
      </c>
      <c r="AB215" s="5"/>
      <c r="AC215" s="6"/>
    </row>
    <row r="216" spans="1:29" ht="15.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5"/>
      <c r="X216" s="6"/>
      <c r="Y216" s="6"/>
      <c r="Z216" s="6"/>
      <c r="AA216" s="5" t="s">
        <v>159</v>
      </c>
      <c r="AB216" s="5"/>
      <c r="AC216" s="6"/>
    </row>
    <row r="217" spans="1:29" ht="15.6" x14ac:dyDescent="0.3">
      <c r="A217" s="6"/>
      <c r="B217" s="6"/>
      <c r="C217" s="5" t="s">
        <v>482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/>
      <c r="X217" s="6"/>
      <c r="Y217" s="6"/>
      <c r="Z217" s="6"/>
      <c r="AA217" s="5"/>
      <c r="AB217" s="5"/>
      <c r="AC217" s="5"/>
    </row>
    <row r="218" spans="1:29" ht="15.6" x14ac:dyDescent="0.3">
      <c r="A218" s="57" t="s">
        <v>0</v>
      </c>
      <c r="B218" s="66" t="s">
        <v>469</v>
      </c>
      <c r="C218" s="60" t="s">
        <v>458</v>
      </c>
      <c r="D218" s="61"/>
      <c r="E218" s="62"/>
      <c r="F218" s="60" t="s">
        <v>1</v>
      </c>
      <c r="G218" s="61"/>
      <c r="H218" s="62"/>
      <c r="I218" s="60" t="s">
        <v>2</v>
      </c>
      <c r="J218" s="61"/>
      <c r="K218" s="62"/>
      <c r="L218" s="60" t="s">
        <v>8</v>
      </c>
      <c r="M218" s="61"/>
      <c r="N218" s="62"/>
      <c r="O218" s="60" t="s">
        <v>3</v>
      </c>
      <c r="P218" s="61"/>
      <c r="Q218" s="62"/>
      <c r="R218" s="31"/>
      <c r="S218" s="31" t="s">
        <v>4</v>
      </c>
      <c r="T218" s="31"/>
      <c r="U218" s="60" t="s">
        <v>5</v>
      </c>
      <c r="V218" s="61"/>
      <c r="W218" s="62"/>
      <c r="X218" s="57" t="s">
        <v>16</v>
      </c>
      <c r="Y218" s="57" t="s">
        <v>17</v>
      </c>
      <c r="Z218" s="57" t="s">
        <v>18</v>
      </c>
      <c r="AA218" s="57" t="s">
        <v>19</v>
      </c>
      <c r="AB218" s="57" t="s">
        <v>20</v>
      </c>
      <c r="AC218" s="57" t="s">
        <v>21</v>
      </c>
    </row>
    <row r="219" spans="1:29" ht="55.2" x14ac:dyDescent="0.25">
      <c r="A219" s="58"/>
      <c r="B219" s="67"/>
      <c r="C219" s="32" t="s">
        <v>6</v>
      </c>
      <c r="D219" s="32" t="s">
        <v>461</v>
      </c>
      <c r="E219" s="32" t="s">
        <v>7</v>
      </c>
      <c r="F219" s="32" t="s">
        <v>6</v>
      </c>
      <c r="G219" s="32" t="s">
        <v>461</v>
      </c>
      <c r="H219" s="32" t="s">
        <v>7</v>
      </c>
      <c r="I219" s="32" t="s">
        <v>6</v>
      </c>
      <c r="J219" s="32" t="s">
        <v>461</v>
      </c>
      <c r="K219" s="32" t="s">
        <v>7</v>
      </c>
      <c r="L219" s="32" t="s">
        <v>6</v>
      </c>
      <c r="M219" s="32" t="s">
        <v>461</v>
      </c>
      <c r="N219" s="32" t="s">
        <v>7</v>
      </c>
      <c r="O219" s="32" t="s">
        <v>6</v>
      </c>
      <c r="P219" s="32" t="s">
        <v>461</v>
      </c>
      <c r="Q219" s="32" t="s">
        <v>7</v>
      </c>
      <c r="R219" s="32" t="s">
        <v>6</v>
      </c>
      <c r="S219" s="32" t="s">
        <v>461</v>
      </c>
      <c r="T219" s="32" t="s">
        <v>7</v>
      </c>
      <c r="U219" s="32" t="s">
        <v>6</v>
      </c>
      <c r="V219" s="32" t="s">
        <v>461</v>
      </c>
      <c r="W219" s="32" t="s">
        <v>7</v>
      </c>
      <c r="X219" s="58"/>
      <c r="Y219" s="58"/>
      <c r="Z219" s="58"/>
      <c r="AA219" s="58"/>
      <c r="AB219" s="58"/>
      <c r="AC219" s="58"/>
    </row>
    <row r="220" spans="1:29" ht="15.6" x14ac:dyDescent="0.3">
      <c r="A220" s="59"/>
      <c r="B220" s="68"/>
      <c r="C220" s="33">
        <v>50</v>
      </c>
      <c r="D220" s="33">
        <v>50</v>
      </c>
      <c r="E220" s="33">
        <v>100</v>
      </c>
      <c r="F220" s="33">
        <v>50</v>
      </c>
      <c r="G220" s="33">
        <v>50</v>
      </c>
      <c r="H220" s="33">
        <v>100</v>
      </c>
      <c r="I220" s="33">
        <v>50</v>
      </c>
      <c r="J220" s="33">
        <v>50</v>
      </c>
      <c r="K220" s="33">
        <v>100</v>
      </c>
      <c r="L220" s="33">
        <v>50</v>
      </c>
      <c r="M220" s="33">
        <v>50</v>
      </c>
      <c r="N220" s="33">
        <v>100</v>
      </c>
      <c r="O220" s="33">
        <v>50</v>
      </c>
      <c r="P220" s="33">
        <v>50</v>
      </c>
      <c r="Q220" s="33">
        <v>100</v>
      </c>
      <c r="R220" s="33">
        <v>50</v>
      </c>
      <c r="S220" s="33">
        <v>50</v>
      </c>
      <c r="T220" s="33">
        <v>100</v>
      </c>
      <c r="U220" s="33">
        <v>50</v>
      </c>
      <c r="V220" s="33">
        <v>50</v>
      </c>
      <c r="W220" s="33">
        <v>100</v>
      </c>
      <c r="X220" s="59"/>
      <c r="Y220" s="59"/>
      <c r="Z220" s="59"/>
      <c r="AA220" s="59"/>
      <c r="AB220" s="59"/>
      <c r="AC220" s="59"/>
    </row>
    <row r="221" spans="1:29" ht="15.6" x14ac:dyDescent="0.3">
      <c r="A221" s="26">
        <v>41</v>
      </c>
      <c r="B221" s="29" t="s">
        <v>601</v>
      </c>
      <c r="C221" s="26">
        <v>25</v>
      </c>
      <c r="D221" s="26">
        <v>25</v>
      </c>
      <c r="E221" s="33">
        <f t="shared" ref="E221:E232" si="64">SUM(C221:D221)</f>
        <v>50</v>
      </c>
      <c r="F221" s="26">
        <v>40</v>
      </c>
      <c r="G221" s="26">
        <v>40</v>
      </c>
      <c r="H221" s="33">
        <f t="shared" ref="H221:H232" si="65">SUM(F221:G221)</f>
        <v>80</v>
      </c>
      <c r="I221" s="26">
        <v>32</v>
      </c>
      <c r="J221" s="26">
        <v>34</v>
      </c>
      <c r="K221" s="33">
        <f t="shared" ref="K221:K232" si="66">SUM(I221:J221)</f>
        <v>66</v>
      </c>
      <c r="L221" s="26">
        <v>42</v>
      </c>
      <c r="M221" s="26">
        <v>32</v>
      </c>
      <c r="N221" s="33">
        <f t="shared" ref="N221:N232" si="67">SUM(L221:M221)</f>
        <v>74</v>
      </c>
      <c r="O221" s="26">
        <v>26</v>
      </c>
      <c r="P221" s="26">
        <v>27</v>
      </c>
      <c r="Q221" s="33">
        <f t="shared" ref="Q221:Q232" si="68">SUM(O221:P221)</f>
        <v>53</v>
      </c>
      <c r="R221" s="26">
        <v>17</v>
      </c>
      <c r="S221" s="26">
        <v>41</v>
      </c>
      <c r="T221" s="33">
        <f t="shared" ref="T221:T232" si="69">SUM(R221:S221)</f>
        <v>58</v>
      </c>
      <c r="U221" s="26">
        <v>20</v>
      </c>
      <c r="V221" s="26">
        <v>32</v>
      </c>
      <c r="W221" s="33">
        <f t="shared" ref="W221:W232" si="70">SUM(U221:V221)</f>
        <v>52</v>
      </c>
      <c r="X221" s="30"/>
      <c r="Y221" s="30"/>
      <c r="Z221" s="30"/>
      <c r="AA221" s="33">
        <f t="shared" ref="AA221:AA232" si="71">SUM(W221,T221,Q221,N221,K221,H221,E221)</f>
        <v>433</v>
      </c>
      <c r="AB221" s="26" t="s">
        <v>117</v>
      </c>
      <c r="AC221" s="28"/>
    </row>
    <row r="222" spans="1:29" ht="15.6" x14ac:dyDescent="0.3">
      <c r="A222" s="26">
        <v>42</v>
      </c>
      <c r="B222" s="29" t="s">
        <v>419</v>
      </c>
      <c r="C222" s="26">
        <v>31</v>
      </c>
      <c r="D222" s="26">
        <v>25</v>
      </c>
      <c r="E222" s="33">
        <f t="shared" ref="E222:E228" si="72">SUM(C222:D222)</f>
        <v>56</v>
      </c>
      <c r="F222" s="26">
        <v>40</v>
      </c>
      <c r="G222" s="26">
        <v>29</v>
      </c>
      <c r="H222" s="33">
        <f t="shared" ref="H222:H228" si="73">SUM(F222:G222)</f>
        <v>69</v>
      </c>
      <c r="I222" s="26">
        <v>26</v>
      </c>
      <c r="J222" s="26">
        <v>25</v>
      </c>
      <c r="K222" s="33">
        <f t="shared" ref="K222:K228" si="74">SUM(I222:J222)</f>
        <v>51</v>
      </c>
      <c r="L222" s="26">
        <v>31</v>
      </c>
      <c r="M222" s="26">
        <v>25</v>
      </c>
      <c r="N222" s="33">
        <f t="shared" ref="N222:N228" si="75">SUM(L222:M222)</f>
        <v>56</v>
      </c>
      <c r="O222" s="26">
        <v>33</v>
      </c>
      <c r="P222" s="26">
        <v>29</v>
      </c>
      <c r="Q222" s="33">
        <f t="shared" ref="Q222:Q228" si="76">SUM(O222:P222)</f>
        <v>62</v>
      </c>
      <c r="R222" s="26">
        <v>13</v>
      </c>
      <c r="S222" s="26">
        <v>37</v>
      </c>
      <c r="T222" s="33">
        <f t="shared" ref="T222:T228" si="77">SUM(R222:S222)</f>
        <v>50</v>
      </c>
      <c r="U222" s="26">
        <v>25</v>
      </c>
      <c r="V222" s="26">
        <v>27</v>
      </c>
      <c r="W222" s="33">
        <f t="shared" ref="W222:W228" si="78">SUM(U222:V222)</f>
        <v>52</v>
      </c>
      <c r="X222" s="30"/>
      <c r="Y222" s="30"/>
      <c r="Z222" s="30"/>
      <c r="AA222" s="33">
        <f t="shared" ref="AA222:AA228" si="79">SUM(W222,T222,Q222,N222,K222,H222,E222)</f>
        <v>396</v>
      </c>
      <c r="AB222" s="26" t="s">
        <v>117</v>
      </c>
      <c r="AC222" s="28"/>
    </row>
    <row r="223" spans="1:29" ht="15.6" x14ac:dyDescent="0.3">
      <c r="A223" s="26">
        <v>43</v>
      </c>
      <c r="B223" s="29" t="s">
        <v>550</v>
      </c>
      <c r="C223" s="26">
        <v>42</v>
      </c>
      <c r="D223" s="26">
        <v>25</v>
      </c>
      <c r="E223" s="33">
        <f t="shared" si="72"/>
        <v>67</v>
      </c>
      <c r="F223" s="26">
        <v>37</v>
      </c>
      <c r="G223" s="26">
        <v>33</v>
      </c>
      <c r="H223" s="33">
        <f t="shared" si="73"/>
        <v>70</v>
      </c>
      <c r="I223" s="26">
        <v>31</v>
      </c>
      <c r="J223" s="26">
        <v>27</v>
      </c>
      <c r="K223" s="33">
        <f t="shared" si="74"/>
        <v>58</v>
      </c>
      <c r="L223" s="26">
        <v>32</v>
      </c>
      <c r="M223" s="26">
        <v>34</v>
      </c>
      <c r="N223" s="33">
        <f t="shared" si="75"/>
        <v>66</v>
      </c>
      <c r="O223" s="26">
        <v>27</v>
      </c>
      <c r="P223" s="26">
        <v>23</v>
      </c>
      <c r="Q223" s="33">
        <f t="shared" si="76"/>
        <v>50</v>
      </c>
      <c r="R223" s="26">
        <v>25</v>
      </c>
      <c r="S223" s="26">
        <v>28</v>
      </c>
      <c r="T223" s="33">
        <f t="shared" si="77"/>
        <v>53</v>
      </c>
      <c r="U223" s="26">
        <v>25</v>
      </c>
      <c r="V223" s="26">
        <v>26</v>
      </c>
      <c r="W223" s="33">
        <f t="shared" si="78"/>
        <v>51</v>
      </c>
      <c r="X223" s="30"/>
      <c r="Y223" s="30"/>
      <c r="Z223" s="30"/>
      <c r="AA223" s="33">
        <f t="shared" si="79"/>
        <v>415</v>
      </c>
      <c r="AB223" s="26" t="s">
        <v>117</v>
      </c>
      <c r="AC223" s="28"/>
    </row>
    <row r="224" spans="1:29" ht="15.6" x14ac:dyDescent="0.3">
      <c r="A224" s="26">
        <v>44</v>
      </c>
      <c r="B224" s="29" t="s">
        <v>512</v>
      </c>
      <c r="C224" s="26">
        <v>48</v>
      </c>
      <c r="D224" s="26">
        <v>45</v>
      </c>
      <c r="E224" s="33">
        <f t="shared" si="72"/>
        <v>93</v>
      </c>
      <c r="F224" s="26">
        <v>41</v>
      </c>
      <c r="G224" s="26">
        <v>43</v>
      </c>
      <c r="H224" s="33">
        <f t="shared" si="73"/>
        <v>84</v>
      </c>
      <c r="I224" s="26">
        <v>41</v>
      </c>
      <c r="J224" s="26">
        <v>37</v>
      </c>
      <c r="K224" s="33">
        <f t="shared" si="74"/>
        <v>78</v>
      </c>
      <c r="L224" s="26">
        <v>46</v>
      </c>
      <c r="M224" s="26">
        <v>43</v>
      </c>
      <c r="N224" s="33">
        <f t="shared" si="75"/>
        <v>89</v>
      </c>
      <c r="O224" s="26">
        <v>42</v>
      </c>
      <c r="P224" s="26">
        <v>38</v>
      </c>
      <c r="Q224" s="33">
        <f t="shared" si="76"/>
        <v>80</v>
      </c>
      <c r="R224" s="26">
        <v>34</v>
      </c>
      <c r="S224" s="26">
        <v>43</v>
      </c>
      <c r="T224" s="33">
        <f t="shared" si="77"/>
        <v>77</v>
      </c>
      <c r="U224" s="26">
        <v>36</v>
      </c>
      <c r="V224" s="26">
        <v>44</v>
      </c>
      <c r="W224" s="33">
        <f t="shared" si="78"/>
        <v>80</v>
      </c>
      <c r="X224" s="30"/>
      <c r="Y224" s="30"/>
      <c r="Z224" s="30"/>
      <c r="AA224" s="33">
        <v>590</v>
      </c>
      <c r="AB224" s="26" t="s">
        <v>117</v>
      </c>
      <c r="AC224" s="28"/>
    </row>
    <row r="225" spans="1:29" ht="15.6" x14ac:dyDescent="0.3">
      <c r="A225" s="26">
        <v>45</v>
      </c>
      <c r="B225" s="29" t="s">
        <v>551</v>
      </c>
      <c r="C225" s="26">
        <v>33</v>
      </c>
      <c r="D225" s="26">
        <v>25</v>
      </c>
      <c r="E225" s="33">
        <f t="shared" si="72"/>
        <v>58</v>
      </c>
      <c r="F225" s="26">
        <v>33</v>
      </c>
      <c r="G225" s="26">
        <v>46</v>
      </c>
      <c r="H225" s="33">
        <f t="shared" si="73"/>
        <v>79</v>
      </c>
      <c r="I225" s="26">
        <v>34</v>
      </c>
      <c r="J225" s="26">
        <v>33</v>
      </c>
      <c r="K225" s="33">
        <f t="shared" si="74"/>
        <v>67</v>
      </c>
      <c r="L225" s="26">
        <v>49</v>
      </c>
      <c r="M225" s="26">
        <v>30</v>
      </c>
      <c r="N225" s="33">
        <f t="shared" si="75"/>
        <v>79</v>
      </c>
      <c r="O225" s="26">
        <v>28</v>
      </c>
      <c r="P225" s="26">
        <v>30</v>
      </c>
      <c r="Q225" s="33">
        <f t="shared" si="76"/>
        <v>58</v>
      </c>
      <c r="R225" s="26">
        <v>25</v>
      </c>
      <c r="S225" s="26">
        <v>36</v>
      </c>
      <c r="T225" s="33">
        <f t="shared" si="77"/>
        <v>61</v>
      </c>
      <c r="U225" s="26">
        <v>25</v>
      </c>
      <c r="V225" s="26">
        <v>26</v>
      </c>
      <c r="W225" s="33">
        <f t="shared" si="78"/>
        <v>51</v>
      </c>
      <c r="X225" s="30"/>
      <c r="Y225" s="30"/>
      <c r="Z225" s="30"/>
      <c r="AA225" s="33">
        <f t="shared" si="79"/>
        <v>453</v>
      </c>
      <c r="AB225" s="26" t="s">
        <v>117</v>
      </c>
      <c r="AC225" s="28"/>
    </row>
    <row r="226" spans="1:29" ht="15.6" x14ac:dyDescent="0.3">
      <c r="A226" s="26">
        <v>46</v>
      </c>
      <c r="B226" s="29" t="s">
        <v>413</v>
      </c>
      <c r="C226" s="26">
        <v>41</v>
      </c>
      <c r="D226" s="26">
        <v>38</v>
      </c>
      <c r="E226" s="33">
        <f t="shared" si="72"/>
        <v>79</v>
      </c>
      <c r="F226" s="26">
        <v>44</v>
      </c>
      <c r="G226" s="26">
        <v>45</v>
      </c>
      <c r="H226" s="33">
        <f t="shared" si="73"/>
        <v>89</v>
      </c>
      <c r="I226" s="26">
        <v>42</v>
      </c>
      <c r="J226" s="26">
        <v>38</v>
      </c>
      <c r="K226" s="33">
        <f t="shared" si="74"/>
        <v>80</v>
      </c>
      <c r="L226" s="26">
        <v>34</v>
      </c>
      <c r="M226" s="26">
        <v>27</v>
      </c>
      <c r="N226" s="33">
        <f t="shared" si="75"/>
        <v>61</v>
      </c>
      <c r="O226" s="26">
        <v>27</v>
      </c>
      <c r="P226" s="26">
        <v>30</v>
      </c>
      <c r="Q226" s="33">
        <f t="shared" si="76"/>
        <v>57</v>
      </c>
      <c r="R226" s="26">
        <v>36</v>
      </c>
      <c r="S226" s="26">
        <v>39</v>
      </c>
      <c r="T226" s="33">
        <f t="shared" si="77"/>
        <v>75</v>
      </c>
      <c r="U226" s="26">
        <v>33</v>
      </c>
      <c r="V226" s="26">
        <v>37</v>
      </c>
      <c r="W226" s="33">
        <f t="shared" si="78"/>
        <v>70</v>
      </c>
      <c r="X226" s="30"/>
      <c r="Y226" s="30"/>
      <c r="Z226" s="30"/>
      <c r="AA226" s="33">
        <f t="shared" si="79"/>
        <v>511</v>
      </c>
      <c r="AB226" s="26" t="s">
        <v>117</v>
      </c>
      <c r="AC226" s="28"/>
    </row>
    <row r="227" spans="1:29" ht="15.6" x14ac:dyDescent="0.3">
      <c r="A227" s="26">
        <v>47</v>
      </c>
      <c r="B227" s="29" t="s">
        <v>552</v>
      </c>
      <c r="C227" s="26">
        <v>25</v>
      </c>
      <c r="D227" s="26">
        <v>27</v>
      </c>
      <c r="E227" s="33">
        <f t="shared" si="72"/>
        <v>52</v>
      </c>
      <c r="F227" s="26">
        <v>41</v>
      </c>
      <c r="G227" s="26">
        <v>35</v>
      </c>
      <c r="H227" s="33">
        <f t="shared" si="73"/>
        <v>76</v>
      </c>
      <c r="I227" s="26">
        <v>26</v>
      </c>
      <c r="J227" s="26">
        <v>29</v>
      </c>
      <c r="K227" s="33">
        <f t="shared" si="74"/>
        <v>55</v>
      </c>
      <c r="L227" s="26">
        <v>39</v>
      </c>
      <c r="M227" s="26">
        <v>27</v>
      </c>
      <c r="N227" s="33">
        <f t="shared" si="75"/>
        <v>66</v>
      </c>
      <c r="O227" s="26">
        <v>31</v>
      </c>
      <c r="P227" s="26">
        <v>26</v>
      </c>
      <c r="Q227" s="33">
        <f t="shared" si="76"/>
        <v>57</v>
      </c>
      <c r="R227" s="26">
        <v>25</v>
      </c>
      <c r="S227" s="26">
        <v>27</v>
      </c>
      <c r="T227" s="33">
        <f t="shared" si="77"/>
        <v>52</v>
      </c>
      <c r="U227" s="26">
        <v>25</v>
      </c>
      <c r="V227" s="26">
        <v>29</v>
      </c>
      <c r="W227" s="33">
        <f t="shared" si="78"/>
        <v>54</v>
      </c>
      <c r="X227" s="30"/>
      <c r="Y227" s="30"/>
      <c r="Z227" s="30"/>
      <c r="AA227" s="33">
        <f t="shared" si="79"/>
        <v>412</v>
      </c>
      <c r="AB227" s="26" t="s">
        <v>117</v>
      </c>
      <c r="AC227" s="28"/>
    </row>
    <row r="228" spans="1:29" ht="15.6" x14ac:dyDescent="0.3">
      <c r="A228" s="26">
        <v>48</v>
      </c>
      <c r="B228" s="29" t="s">
        <v>553</v>
      </c>
      <c r="C228" s="26">
        <v>48</v>
      </c>
      <c r="D228" s="26">
        <v>48</v>
      </c>
      <c r="E228" s="33">
        <f t="shared" si="72"/>
        <v>96</v>
      </c>
      <c r="F228" s="26">
        <v>50</v>
      </c>
      <c r="G228" s="26">
        <v>50</v>
      </c>
      <c r="H228" s="33">
        <f t="shared" si="73"/>
        <v>100</v>
      </c>
      <c r="I228" s="26">
        <v>47</v>
      </c>
      <c r="J228" s="26">
        <v>48</v>
      </c>
      <c r="K228" s="33">
        <f t="shared" si="74"/>
        <v>95</v>
      </c>
      <c r="L228" s="26">
        <v>43</v>
      </c>
      <c r="M228" s="26">
        <v>45</v>
      </c>
      <c r="N228" s="33">
        <f t="shared" si="75"/>
        <v>88</v>
      </c>
      <c r="O228" s="26">
        <v>30</v>
      </c>
      <c r="P228" s="26">
        <v>34</v>
      </c>
      <c r="Q228" s="33">
        <f t="shared" si="76"/>
        <v>64</v>
      </c>
      <c r="R228" s="26">
        <v>46</v>
      </c>
      <c r="S228" s="26">
        <v>42</v>
      </c>
      <c r="T228" s="33">
        <f t="shared" si="77"/>
        <v>88</v>
      </c>
      <c r="U228" s="26">
        <v>43</v>
      </c>
      <c r="V228" s="26">
        <v>41</v>
      </c>
      <c r="W228" s="33">
        <f t="shared" si="78"/>
        <v>84</v>
      </c>
      <c r="X228" s="30"/>
      <c r="Y228" s="30"/>
      <c r="Z228" s="30"/>
      <c r="AA228" s="33">
        <f t="shared" si="79"/>
        <v>615</v>
      </c>
      <c r="AB228" s="26" t="s">
        <v>117</v>
      </c>
      <c r="AC228" s="28"/>
    </row>
    <row r="229" spans="1:29" ht="15.6" x14ac:dyDescent="0.3">
      <c r="A229" s="26">
        <v>49</v>
      </c>
      <c r="B229" s="29" t="s">
        <v>554</v>
      </c>
      <c r="C229" s="26">
        <v>43</v>
      </c>
      <c r="D229" s="26">
        <v>32</v>
      </c>
      <c r="E229" s="33">
        <f t="shared" si="64"/>
        <v>75</v>
      </c>
      <c r="F229" s="26">
        <v>47</v>
      </c>
      <c r="G229" s="26">
        <v>37</v>
      </c>
      <c r="H229" s="33">
        <f t="shared" si="65"/>
        <v>84</v>
      </c>
      <c r="I229" s="26">
        <v>39</v>
      </c>
      <c r="J229" s="26">
        <v>37</v>
      </c>
      <c r="K229" s="33">
        <f t="shared" si="66"/>
        <v>76</v>
      </c>
      <c r="L229" s="26">
        <v>38</v>
      </c>
      <c r="M229" s="26">
        <v>28</v>
      </c>
      <c r="N229" s="33">
        <f t="shared" si="67"/>
        <v>66</v>
      </c>
      <c r="O229" s="26">
        <v>29</v>
      </c>
      <c r="P229" s="26">
        <v>32</v>
      </c>
      <c r="Q229" s="33">
        <f t="shared" si="68"/>
        <v>61</v>
      </c>
      <c r="R229" s="26">
        <v>32</v>
      </c>
      <c r="S229" s="26">
        <v>46</v>
      </c>
      <c r="T229" s="33">
        <f t="shared" si="69"/>
        <v>78</v>
      </c>
      <c r="U229" s="26">
        <v>36</v>
      </c>
      <c r="V229" s="26">
        <v>41</v>
      </c>
      <c r="W229" s="33">
        <f t="shared" si="70"/>
        <v>77</v>
      </c>
      <c r="X229" s="30"/>
      <c r="Y229" s="30"/>
      <c r="Z229" s="30"/>
      <c r="AA229" s="33">
        <f t="shared" si="71"/>
        <v>517</v>
      </c>
      <c r="AB229" s="26" t="s">
        <v>117</v>
      </c>
      <c r="AC229" s="28"/>
    </row>
    <row r="230" spans="1:29" ht="15.6" x14ac:dyDescent="0.3">
      <c r="A230" s="26">
        <v>50</v>
      </c>
      <c r="B230" s="29" t="s">
        <v>414</v>
      </c>
      <c r="C230" s="26">
        <v>47</v>
      </c>
      <c r="D230" s="26">
        <v>46</v>
      </c>
      <c r="E230" s="33">
        <f t="shared" si="64"/>
        <v>93</v>
      </c>
      <c r="F230" s="26">
        <v>46</v>
      </c>
      <c r="G230" s="26">
        <v>50</v>
      </c>
      <c r="H230" s="33">
        <f t="shared" si="65"/>
        <v>96</v>
      </c>
      <c r="I230" s="26">
        <v>45</v>
      </c>
      <c r="J230" s="26">
        <v>45</v>
      </c>
      <c r="K230" s="33">
        <f t="shared" si="66"/>
        <v>90</v>
      </c>
      <c r="L230" s="26">
        <v>46</v>
      </c>
      <c r="M230" s="26">
        <v>43</v>
      </c>
      <c r="N230" s="33">
        <f t="shared" si="67"/>
        <v>89</v>
      </c>
      <c r="O230" s="26">
        <v>43</v>
      </c>
      <c r="P230" s="26">
        <v>41</v>
      </c>
      <c r="Q230" s="33">
        <f t="shared" si="68"/>
        <v>84</v>
      </c>
      <c r="R230" s="26">
        <v>32</v>
      </c>
      <c r="S230" s="26">
        <v>46</v>
      </c>
      <c r="T230" s="33">
        <f t="shared" si="69"/>
        <v>78</v>
      </c>
      <c r="U230" s="26">
        <v>25</v>
      </c>
      <c r="V230" s="26">
        <v>44</v>
      </c>
      <c r="W230" s="33">
        <f t="shared" si="70"/>
        <v>69</v>
      </c>
      <c r="X230" s="30"/>
      <c r="Y230" s="30"/>
      <c r="Z230" s="30"/>
      <c r="AA230" s="33">
        <f t="shared" si="71"/>
        <v>599</v>
      </c>
      <c r="AB230" s="26" t="s">
        <v>117</v>
      </c>
      <c r="AC230" s="28"/>
    </row>
    <row r="231" spans="1:29" ht="15.6" x14ac:dyDescent="0.3">
      <c r="A231" s="26">
        <v>51</v>
      </c>
      <c r="B231" s="29" t="s">
        <v>599</v>
      </c>
      <c r="C231" s="26">
        <v>37</v>
      </c>
      <c r="D231" s="26">
        <v>33</v>
      </c>
      <c r="E231" s="33">
        <f t="shared" si="64"/>
        <v>70</v>
      </c>
      <c r="F231" s="26">
        <v>38</v>
      </c>
      <c r="G231" s="26">
        <v>41</v>
      </c>
      <c r="H231" s="33">
        <f t="shared" si="65"/>
        <v>79</v>
      </c>
      <c r="I231" s="26">
        <v>36</v>
      </c>
      <c r="J231" s="26">
        <v>35</v>
      </c>
      <c r="K231" s="33">
        <f t="shared" si="66"/>
        <v>71</v>
      </c>
      <c r="L231" s="26">
        <v>38</v>
      </c>
      <c r="M231" s="26">
        <v>29</v>
      </c>
      <c r="N231" s="33">
        <f t="shared" si="67"/>
        <v>67</v>
      </c>
      <c r="O231" s="26">
        <v>39</v>
      </c>
      <c r="P231" s="26">
        <v>34</v>
      </c>
      <c r="Q231" s="33">
        <f t="shared" si="68"/>
        <v>73</v>
      </c>
      <c r="R231" s="26">
        <v>36</v>
      </c>
      <c r="S231" s="26">
        <v>33</v>
      </c>
      <c r="T231" s="33">
        <f t="shared" si="69"/>
        <v>69</v>
      </c>
      <c r="U231" s="26">
        <v>33</v>
      </c>
      <c r="V231" s="26">
        <v>33</v>
      </c>
      <c r="W231" s="33">
        <f t="shared" si="70"/>
        <v>66</v>
      </c>
      <c r="X231" s="30"/>
      <c r="Y231" s="30"/>
      <c r="Z231" s="30"/>
      <c r="AA231" s="33">
        <f t="shared" si="71"/>
        <v>495</v>
      </c>
      <c r="AB231" s="26" t="s">
        <v>117</v>
      </c>
      <c r="AC231" s="28"/>
    </row>
    <row r="232" spans="1:29" ht="15.6" x14ac:dyDescent="0.3">
      <c r="A232" s="26">
        <v>52</v>
      </c>
      <c r="B232" s="27" t="s">
        <v>513</v>
      </c>
      <c r="C232" s="26">
        <v>45</v>
      </c>
      <c r="D232" s="26">
        <v>50</v>
      </c>
      <c r="E232" s="33">
        <f t="shared" si="64"/>
        <v>95</v>
      </c>
      <c r="F232" s="26">
        <v>50</v>
      </c>
      <c r="G232" s="26">
        <v>50</v>
      </c>
      <c r="H232" s="33">
        <f t="shared" si="65"/>
        <v>100</v>
      </c>
      <c r="I232" s="26">
        <v>49</v>
      </c>
      <c r="J232" s="26">
        <v>48</v>
      </c>
      <c r="K232" s="33">
        <f t="shared" si="66"/>
        <v>97</v>
      </c>
      <c r="L232" s="26">
        <v>46</v>
      </c>
      <c r="M232" s="26">
        <v>49</v>
      </c>
      <c r="N232" s="33">
        <f t="shared" si="67"/>
        <v>95</v>
      </c>
      <c r="O232" s="26">
        <v>27</v>
      </c>
      <c r="P232" s="26">
        <v>48</v>
      </c>
      <c r="Q232" s="33">
        <f t="shared" si="68"/>
        <v>75</v>
      </c>
      <c r="R232" s="26">
        <v>45</v>
      </c>
      <c r="S232" s="26">
        <v>50</v>
      </c>
      <c r="T232" s="33">
        <f t="shared" si="69"/>
        <v>95</v>
      </c>
      <c r="U232" s="26">
        <v>46</v>
      </c>
      <c r="V232" s="26">
        <v>50</v>
      </c>
      <c r="W232" s="33">
        <f t="shared" si="70"/>
        <v>96</v>
      </c>
      <c r="X232" s="30"/>
      <c r="Y232" s="30"/>
      <c r="Z232" s="30"/>
      <c r="AA232" s="33">
        <f t="shared" si="71"/>
        <v>653</v>
      </c>
      <c r="AB232" s="26" t="s">
        <v>117</v>
      </c>
      <c r="AC232" s="28"/>
    </row>
    <row r="233" spans="1:29" ht="15.6" x14ac:dyDescent="0.3">
      <c r="A233" s="26">
        <v>53</v>
      </c>
      <c r="B233" s="27" t="s">
        <v>514</v>
      </c>
      <c r="C233" s="26">
        <v>40</v>
      </c>
      <c r="D233" s="26">
        <v>42</v>
      </c>
      <c r="E233" s="33">
        <f>SUM(C233:D233)</f>
        <v>82</v>
      </c>
      <c r="F233" s="26">
        <v>46</v>
      </c>
      <c r="G233" s="26">
        <v>47</v>
      </c>
      <c r="H233" s="33">
        <f>SUM(F233:G233)</f>
        <v>93</v>
      </c>
      <c r="I233" s="26">
        <v>42</v>
      </c>
      <c r="J233" s="26">
        <v>42</v>
      </c>
      <c r="K233" s="33">
        <f>SUM(I233:J233)</f>
        <v>84</v>
      </c>
      <c r="L233" s="26">
        <v>30</v>
      </c>
      <c r="M233" s="26">
        <v>28</v>
      </c>
      <c r="N233" s="33">
        <f>SUM(L233:M233)</f>
        <v>58</v>
      </c>
      <c r="O233" s="26">
        <v>32</v>
      </c>
      <c r="P233" s="26">
        <v>31</v>
      </c>
      <c r="Q233" s="33">
        <f>SUM(O233:P233)</f>
        <v>63</v>
      </c>
      <c r="R233" s="26">
        <v>28</v>
      </c>
      <c r="S233" s="26">
        <v>48</v>
      </c>
      <c r="T233" s="33">
        <f>SUM(R233:S233)</f>
        <v>76</v>
      </c>
      <c r="U233" s="26">
        <v>30</v>
      </c>
      <c r="V233" s="26">
        <v>40</v>
      </c>
      <c r="W233" s="33">
        <f>SUM(U233:V233)</f>
        <v>70</v>
      </c>
      <c r="X233" s="30"/>
      <c r="Y233" s="30"/>
      <c r="Z233" s="30"/>
      <c r="AA233" s="33">
        <f>SUM(W233,T233,Q233,N233,K233,H233,E233)</f>
        <v>526</v>
      </c>
      <c r="AB233" s="26" t="s">
        <v>117</v>
      </c>
      <c r="AC233" s="28"/>
    </row>
    <row r="234" spans="1:29" ht="15.6" x14ac:dyDescent="0.3">
      <c r="A234" s="26">
        <v>54</v>
      </c>
      <c r="B234" s="27" t="s">
        <v>555</v>
      </c>
      <c r="C234" s="26">
        <v>50</v>
      </c>
      <c r="D234" s="26">
        <v>48</v>
      </c>
      <c r="E234" s="33">
        <f t="shared" ref="E234:E240" si="80">SUM(C234:D234)</f>
        <v>98</v>
      </c>
      <c r="F234" s="26">
        <v>48</v>
      </c>
      <c r="G234" s="26">
        <v>50</v>
      </c>
      <c r="H234" s="33">
        <f t="shared" ref="H234:H240" si="81">SUM(F234:G234)</f>
        <v>98</v>
      </c>
      <c r="I234" s="26">
        <v>50</v>
      </c>
      <c r="J234" s="26">
        <v>49</v>
      </c>
      <c r="K234" s="33">
        <f t="shared" ref="K234:K240" si="82">SUM(I234:J234)</f>
        <v>99</v>
      </c>
      <c r="L234" s="26">
        <v>49</v>
      </c>
      <c r="M234" s="26">
        <v>49</v>
      </c>
      <c r="N234" s="33">
        <f t="shared" ref="N234:N240" si="83">SUM(L234:M234)</f>
        <v>98</v>
      </c>
      <c r="O234" s="26">
        <v>33</v>
      </c>
      <c r="P234" s="26">
        <v>33</v>
      </c>
      <c r="Q234" s="33">
        <f t="shared" ref="Q234:Q240" si="84">SUM(O234:P234)</f>
        <v>66</v>
      </c>
      <c r="R234" s="26">
        <v>48</v>
      </c>
      <c r="S234" s="26">
        <v>50</v>
      </c>
      <c r="T234" s="33">
        <f t="shared" ref="T234:T240" si="85">SUM(R234:S234)</f>
        <v>98</v>
      </c>
      <c r="U234" s="26">
        <v>47</v>
      </c>
      <c r="V234" s="26">
        <v>50</v>
      </c>
      <c r="W234" s="33">
        <f t="shared" ref="W234:W240" si="86">SUM(U234:V234)</f>
        <v>97</v>
      </c>
      <c r="X234" s="30"/>
      <c r="Y234" s="30"/>
      <c r="Z234" s="30"/>
      <c r="AA234" s="33">
        <f t="shared" ref="AA234:AA240" si="87">SUM(W234,T234,Q234,N234,K234,H234,E234)</f>
        <v>654</v>
      </c>
      <c r="AB234" s="26" t="s">
        <v>117</v>
      </c>
      <c r="AC234" s="28"/>
    </row>
    <row r="235" spans="1:29" ht="15.6" x14ac:dyDescent="0.3">
      <c r="A235" s="26">
        <v>55</v>
      </c>
      <c r="B235" s="27" t="s">
        <v>556</v>
      </c>
      <c r="C235" s="26">
        <v>49</v>
      </c>
      <c r="D235" s="26">
        <v>43</v>
      </c>
      <c r="E235" s="33">
        <f t="shared" si="80"/>
        <v>92</v>
      </c>
      <c r="F235" s="26">
        <v>47</v>
      </c>
      <c r="G235" s="26">
        <v>43</v>
      </c>
      <c r="H235" s="33">
        <f t="shared" si="81"/>
        <v>90</v>
      </c>
      <c r="I235" s="26">
        <v>46</v>
      </c>
      <c r="J235" s="26">
        <v>40</v>
      </c>
      <c r="K235" s="33">
        <f t="shared" si="82"/>
        <v>86</v>
      </c>
      <c r="L235" s="26">
        <v>47</v>
      </c>
      <c r="M235" s="26">
        <v>45</v>
      </c>
      <c r="N235" s="33">
        <f t="shared" si="83"/>
        <v>92</v>
      </c>
      <c r="O235" s="26">
        <v>47</v>
      </c>
      <c r="P235" s="26">
        <v>50</v>
      </c>
      <c r="Q235" s="33">
        <f t="shared" si="84"/>
        <v>97</v>
      </c>
      <c r="R235" s="26">
        <v>25</v>
      </c>
      <c r="S235" s="26">
        <v>25</v>
      </c>
      <c r="T235" s="33">
        <f t="shared" si="85"/>
        <v>50</v>
      </c>
      <c r="U235" s="26">
        <v>13</v>
      </c>
      <c r="V235" s="26">
        <v>37</v>
      </c>
      <c r="W235" s="33">
        <f t="shared" si="86"/>
        <v>50</v>
      </c>
      <c r="X235" s="30"/>
      <c r="Y235" s="30"/>
      <c r="Z235" s="30"/>
      <c r="AA235" s="33">
        <f t="shared" si="87"/>
        <v>557</v>
      </c>
      <c r="AB235" s="26" t="s">
        <v>117</v>
      </c>
      <c r="AC235" s="28"/>
    </row>
    <row r="236" spans="1:29" ht="15.6" x14ac:dyDescent="0.3">
      <c r="A236" s="26">
        <v>56</v>
      </c>
      <c r="B236" s="27" t="s">
        <v>557</v>
      </c>
      <c r="C236" s="26">
        <v>48</v>
      </c>
      <c r="D236" s="26">
        <v>45</v>
      </c>
      <c r="E236" s="33">
        <f t="shared" si="80"/>
        <v>93</v>
      </c>
      <c r="F236" s="26">
        <v>46</v>
      </c>
      <c r="G236" s="26">
        <v>46</v>
      </c>
      <c r="H236" s="33">
        <f t="shared" si="81"/>
        <v>92</v>
      </c>
      <c r="I236" s="26">
        <v>47</v>
      </c>
      <c r="J236" s="26">
        <v>45</v>
      </c>
      <c r="K236" s="33">
        <f t="shared" si="82"/>
        <v>92</v>
      </c>
      <c r="L236" s="26">
        <v>47</v>
      </c>
      <c r="M236" s="26">
        <v>45</v>
      </c>
      <c r="N236" s="33">
        <f t="shared" si="83"/>
        <v>92</v>
      </c>
      <c r="O236" s="26">
        <v>40</v>
      </c>
      <c r="P236" s="26">
        <v>36</v>
      </c>
      <c r="Q236" s="33">
        <f t="shared" si="84"/>
        <v>76</v>
      </c>
      <c r="R236" s="26">
        <v>25</v>
      </c>
      <c r="S236" s="26">
        <v>25</v>
      </c>
      <c r="T236" s="33">
        <f t="shared" si="85"/>
        <v>50</v>
      </c>
      <c r="U236" s="26">
        <v>17</v>
      </c>
      <c r="V236" s="26">
        <v>33</v>
      </c>
      <c r="W236" s="33">
        <f t="shared" si="86"/>
        <v>50</v>
      </c>
      <c r="X236" s="30"/>
      <c r="Y236" s="30"/>
      <c r="Z236" s="30"/>
      <c r="AA236" s="33">
        <f t="shared" si="87"/>
        <v>545</v>
      </c>
      <c r="AB236" s="26" t="s">
        <v>117</v>
      </c>
      <c r="AC236" s="28"/>
    </row>
    <row r="237" spans="1:29" ht="15.6" x14ac:dyDescent="0.3">
      <c r="A237" s="26">
        <v>57</v>
      </c>
      <c r="B237" s="27" t="s">
        <v>558</v>
      </c>
      <c r="C237" s="26">
        <v>25</v>
      </c>
      <c r="D237" s="26">
        <v>25</v>
      </c>
      <c r="E237" s="33">
        <f t="shared" si="80"/>
        <v>50</v>
      </c>
      <c r="F237" s="26">
        <v>35</v>
      </c>
      <c r="G237" s="26">
        <v>28</v>
      </c>
      <c r="H237" s="33">
        <f t="shared" si="81"/>
        <v>63</v>
      </c>
      <c r="I237" s="26">
        <v>22</v>
      </c>
      <c r="J237" s="26">
        <v>29</v>
      </c>
      <c r="K237" s="33">
        <f t="shared" si="82"/>
        <v>51</v>
      </c>
      <c r="L237" s="26">
        <v>24</v>
      </c>
      <c r="M237" s="26">
        <v>26</v>
      </c>
      <c r="N237" s="33">
        <f t="shared" si="83"/>
        <v>50</v>
      </c>
      <c r="O237" s="26">
        <v>25</v>
      </c>
      <c r="P237" s="26">
        <v>25</v>
      </c>
      <c r="Q237" s="33">
        <f t="shared" si="84"/>
        <v>50</v>
      </c>
      <c r="R237" s="26">
        <v>17</v>
      </c>
      <c r="S237" s="26">
        <v>33</v>
      </c>
      <c r="T237" s="33">
        <f t="shared" si="85"/>
        <v>50</v>
      </c>
      <c r="U237" s="26">
        <v>18</v>
      </c>
      <c r="V237" s="26">
        <v>32</v>
      </c>
      <c r="W237" s="33">
        <f t="shared" si="86"/>
        <v>50</v>
      </c>
      <c r="X237" s="30"/>
      <c r="Y237" s="30"/>
      <c r="Z237" s="30"/>
      <c r="AA237" s="33">
        <f t="shared" si="87"/>
        <v>364</v>
      </c>
      <c r="AB237" s="26" t="s">
        <v>117</v>
      </c>
      <c r="AC237" s="28"/>
    </row>
    <row r="238" spans="1:29" ht="15.6" x14ac:dyDescent="0.3">
      <c r="A238" s="26">
        <v>58</v>
      </c>
      <c r="B238" s="27" t="s">
        <v>565</v>
      </c>
      <c r="C238" s="26">
        <v>50</v>
      </c>
      <c r="D238" s="26">
        <v>48</v>
      </c>
      <c r="E238" s="33">
        <f t="shared" si="80"/>
        <v>98</v>
      </c>
      <c r="F238" s="26">
        <v>49</v>
      </c>
      <c r="G238" s="26">
        <v>46</v>
      </c>
      <c r="H238" s="33">
        <f t="shared" si="81"/>
        <v>95</v>
      </c>
      <c r="I238" s="26">
        <v>45</v>
      </c>
      <c r="J238" s="26">
        <v>38</v>
      </c>
      <c r="K238" s="33">
        <f t="shared" si="82"/>
        <v>83</v>
      </c>
      <c r="L238" s="26">
        <v>47</v>
      </c>
      <c r="M238" s="26">
        <v>47</v>
      </c>
      <c r="N238" s="33">
        <f t="shared" si="83"/>
        <v>94</v>
      </c>
      <c r="O238" s="26">
        <v>33</v>
      </c>
      <c r="P238" s="26">
        <v>41</v>
      </c>
      <c r="Q238" s="33">
        <f t="shared" si="84"/>
        <v>74</v>
      </c>
      <c r="R238" s="26">
        <v>40</v>
      </c>
      <c r="S238" s="26">
        <v>48</v>
      </c>
      <c r="T238" s="33">
        <f t="shared" si="85"/>
        <v>88</v>
      </c>
      <c r="U238" s="26">
        <v>39</v>
      </c>
      <c r="V238" s="26">
        <v>35</v>
      </c>
      <c r="W238" s="33">
        <f t="shared" si="86"/>
        <v>74</v>
      </c>
      <c r="X238" s="30"/>
      <c r="Y238" s="30"/>
      <c r="Z238" s="30"/>
      <c r="AA238" s="33">
        <f t="shared" si="87"/>
        <v>606</v>
      </c>
      <c r="AB238" s="26" t="s">
        <v>117</v>
      </c>
      <c r="AC238" s="28"/>
    </row>
    <row r="239" spans="1:29" ht="15.6" x14ac:dyDescent="0.3">
      <c r="A239" s="26">
        <v>59</v>
      </c>
      <c r="B239" s="27" t="s">
        <v>515</v>
      </c>
      <c r="C239" s="26">
        <v>25</v>
      </c>
      <c r="D239" s="26">
        <v>25</v>
      </c>
      <c r="E239" s="33">
        <f t="shared" si="80"/>
        <v>50</v>
      </c>
      <c r="F239" s="26">
        <v>27</v>
      </c>
      <c r="G239" s="26">
        <v>27</v>
      </c>
      <c r="H239" s="33">
        <f t="shared" si="81"/>
        <v>54</v>
      </c>
      <c r="I239" s="26">
        <v>23</v>
      </c>
      <c r="J239" s="26">
        <v>29</v>
      </c>
      <c r="K239" s="33">
        <f t="shared" si="82"/>
        <v>52</v>
      </c>
      <c r="L239" s="26">
        <v>22</v>
      </c>
      <c r="M239" s="26">
        <v>28</v>
      </c>
      <c r="N239" s="33">
        <f t="shared" si="83"/>
        <v>50</v>
      </c>
      <c r="O239" s="26">
        <v>14</v>
      </c>
      <c r="P239" s="26">
        <v>36</v>
      </c>
      <c r="Q239" s="33">
        <f t="shared" si="84"/>
        <v>50</v>
      </c>
      <c r="R239" s="26">
        <v>42</v>
      </c>
      <c r="S239" s="26">
        <v>46</v>
      </c>
      <c r="T239" s="33">
        <f t="shared" si="85"/>
        <v>88</v>
      </c>
      <c r="U239" s="26">
        <v>47</v>
      </c>
      <c r="V239" s="26">
        <v>49</v>
      </c>
      <c r="W239" s="33">
        <f t="shared" si="86"/>
        <v>96</v>
      </c>
      <c r="X239" s="30"/>
      <c r="Y239" s="30"/>
      <c r="Z239" s="30"/>
      <c r="AA239" s="33">
        <f t="shared" si="87"/>
        <v>440</v>
      </c>
      <c r="AB239" s="26" t="s">
        <v>117</v>
      </c>
      <c r="AC239" s="28"/>
    </row>
    <row r="240" spans="1:29" ht="15.6" x14ac:dyDescent="0.3">
      <c r="A240" s="26">
        <v>60</v>
      </c>
      <c r="B240" s="27" t="s">
        <v>415</v>
      </c>
      <c r="C240" s="26">
        <v>25</v>
      </c>
      <c r="D240" s="26">
        <v>25</v>
      </c>
      <c r="E240" s="33">
        <f t="shared" si="80"/>
        <v>50</v>
      </c>
      <c r="F240" s="26">
        <v>22</v>
      </c>
      <c r="G240" s="26">
        <v>31</v>
      </c>
      <c r="H240" s="33">
        <f t="shared" si="81"/>
        <v>53</v>
      </c>
      <c r="I240" s="26">
        <v>21</v>
      </c>
      <c r="J240" s="26">
        <v>30</v>
      </c>
      <c r="K240" s="33">
        <f t="shared" si="82"/>
        <v>51</v>
      </c>
      <c r="L240" s="26">
        <v>29</v>
      </c>
      <c r="M240" s="26">
        <v>25</v>
      </c>
      <c r="N240" s="33">
        <f t="shared" si="83"/>
        <v>54</v>
      </c>
      <c r="O240" s="26">
        <v>22</v>
      </c>
      <c r="P240" s="26">
        <v>28</v>
      </c>
      <c r="Q240" s="33">
        <f t="shared" si="84"/>
        <v>50</v>
      </c>
      <c r="R240" s="26">
        <v>11</v>
      </c>
      <c r="S240" s="26">
        <v>39</v>
      </c>
      <c r="T240" s="33">
        <f t="shared" si="85"/>
        <v>50</v>
      </c>
      <c r="U240" s="26">
        <v>14</v>
      </c>
      <c r="V240" s="26">
        <v>36</v>
      </c>
      <c r="W240" s="33">
        <f t="shared" si="86"/>
        <v>50</v>
      </c>
      <c r="X240" s="30"/>
      <c r="Y240" s="30"/>
      <c r="Z240" s="30"/>
      <c r="AA240" s="33">
        <f t="shared" si="87"/>
        <v>358</v>
      </c>
      <c r="AB240" s="26" t="s">
        <v>117</v>
      </c>
      <c r="AC240" s="28"/>
    </row>
    <row r="241" spans="1:29" ht="15.6" x14ac:dyDescent="0.3">
      <c r="A241" s="3" t="s">
        <v>389</v>
      </c>
      <c r="B241" s="11"/>
      <c r="C241" s="8"/>
      <c r="D241" s="8"/>
      <c r="E241" s="8"/>
      <c r="F241" s="22"/>
      <c r="G241" s="22" t="s">
        <v>468</v>
      </c>
      <c r="H241" s="22"/>
      <c r="I241" s="22"/>
      <c r="J241" s="22"/>
      <c r="K241" s="22"/>
      <c r="L241" s="22"/>
      <c r="M241" s="22"/>
      <c r="N241" s="22"/>
      <c r="O241" s="22" t="s">
        <v>82</v>
      </c>
      <c r="P241" s="22"/>
      <c r="Q241" s="22"/>
      <c r="R241" s="22"/>
      <c r="S241" s="22"/>
      <c r="T241" s="22"/>
      <c r="U241" s="22" t="s">
        <v>83</v>
      </c>
      <c r="V241" s="22"/>
      <c r="W241" s="22"/>
      <c r="X241" s="22"/>
      <c r="Y241" s="22"/>
      <c r="Z241" s="22"/>
      <c r="AA241" s="7"/>
      <c r="AB241" s="5" t="s">
        <v>84</v>
      </c>
      <c r="AC241" s="5"/>
    </row>
    <row r="242" spans="1:29" x14ac:dyDescent="0.25">
      <c r="A242" s="22" t="s">
        <v>89</v>
      </c>
      <c r="B242" s="22"/>
      <c r="C242" s="22"/>
      <c r="D242" s="22"/>
      <c r="E242" s="22"/>
      <c r="F242" s="22" t="s">
        <v>90</v>
      </c>
      <c r="G242" s="22"/>
      <c r="H242" s="22"/>
      <c r="I242" s="22"/>
      <c r="J242" s="22"/>
      <c r="K242" s="22"/>
      <c r="L242" s="22"/>
      <c r="M242" s="22"/>
      <c r="N242" s="22" t="s">
        <v>462</v>
      </c>
      <c r="O242" s="22"/>
      <c r="P242" s="22"/>
      <c r="Q242" s="22"/>
      <c r="R242" s="22"/>
      <c r="S242" s="22"/>
      <c r="T242" s="22" t="s">
        <v>463</v>
      </c>
      <c r="U242" s="22"/>
      <c r="V242" s="22"/>
      <c r="W242" s="22"/>
      <c r="X242" s="22"/>
      <c r="Y242" s="22"/>
      <c r="Z242" s="3"/>
      <c r="AA242" s="3"/>
      <c r="AB242" s="3" t="s">
        <v>85</v>
      </c>
      <c r="AC242" s="3"/>
    </row>
    <row r="243" spans="1:29" x14ac:dyDescent="0.25">
      <c r="A243" s="22" t="s">
        <v>466</v>
      </c>
      <c r="B243" s="22"/>
      <c r="C243" s="22"/>
      <c r="D243" s="22"/>
      <c r="E243" s="22"/>
      <c r="F243" s="22" t="s">
        <v>91</v>
      </c>
      <c r="G243" s="22"/>
      <c r="H243" s="22"/>
      <c r="I243" s="22"/>
      <c r="J243" s="22"/>
      <c r="K243" s="22"/>
      <c r="L243" s="22"/>
      <c r="M243" s="22"/>
      <c r="N243" s="22" t="s">
        <v>94</v>
      </c>
      <c r="O243" s="22"/>
      <c r="P243" s="22"/>
      <c r="Q243" s="22"/>
      <c r="R243" s="22"/>
      <c r="S243" s="22"/>
      <c r="T243" s="22" t="s">
        <v>97</v>
      </c>
      <c r="U243" s="22"/>
      <c r="V243" s="22"/>
      <c r="W243" s="22"/>
      <c r="X243" s="22"/>
      <c r="Y243" s="22"/>
      <c r="Z243" s="3"/>
      <c r="AA243" s="3"/>
      <c r="AB243" s="3" t="s">
        <v>99</v>
      </c>
      <c r="AC243" s="3"/>
    </row>
    <row r="244" spans="1:29" x14ac:dyDescent="0.25">
      <c r="A244" s="22" t="s">
        <v>89</v>
      </c>
      <c r="B244" s="22"/>
      <c r="C244" s="22"/>
      <c r="D244" s="22"/>
      <c r="E244" s="22"/>
      <c r="F244" s="22" t="s">
        <v>92</v>
      </c>
      <c r="G244" s="22"/>
      <c r="H244" s="22"/>
      <c r="I244" s="22"/>
      <c r="J244" s="22"/>
      <c r="K244" s="22"/>
      <c r="L244" s="22"/>
      <c r="M244" s="22"/>
      <c r="N244" s="22" t="s">
        <v>95</v>
      </c>
      <c r="O244" s="22"/>
      <c r="P244" s="22"/>
      <c r="Q244" s="22"/>
      <c r="R244" s="22"/>
      <c r="S244" s="22"/>
      <c r="T244" s="22" t="s">
        <v>98</v>
      </c>
      <c r="U244" s="22"/>
      <c r="V244" s="22"/>
      <c r="W244" s="22"/>
      <c r="X244" s="22"/>
      <c r="Y244" s="22"/>
      <c r="Z244" s="3"/>
    </row>
    <row r="247" spans="1:29" ht="15.6" x14ac:dyDescent="0.3">
      <c r="A247" s="6"/>
      <c r="B247" s="15" t="s">
        <v>494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 t="s">
        <v>467</v>
      </c>
      <c r="N247" s="6"/>
      <c r="O247" s="6"/>
      <c r="P247" s="6"/>
      <c r="Q247" s="6"/>
      <c r="R247" s="6"/>
      <c r="S247" s="6"/>
      <c r="T247" s="6"/>
      <c r="U247" s="6"/>
      <c r="V247" s="6"/>
      <c r="W247" s="5"/>
      <c r="X247" s="6"/>
      <c r="Y247" s="6"/>
      <c r="Z247" s="6"/>
      <c r="AA247" s="5" t="s">
        <v>456</v>
      </c>
      <c r="AB247" s="6"/>
      <c r="AC247" s="6"/>
    </row>
    <row r="248" spans="1:29" ht="15.6" x14ac:dyDescent="0.3">
      <c r="A248" s="6"/>
      <c r="B248" s="15" t="s">
        <v>81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5"/>
      <c r="X248" s="6"/>
      <c r="Y248" s="6"/>
      <c r="Z248" s="6"/>
      <c r="AA248" s="5" t="s">
        <v>100</v>
      </c>
      <c r="AB248" s="5"/>
      <c r="AC248" s="6"/>
    </row>
    <row r="249" spans="1:29" ht="15.6" x14ac:dyDescent="0.3">
      <c r="A249" s="6"/>
      <c r="B249" s="15" t="s">
        <v>459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5"/>
      <c r="X249" s="6"/>
      <c r="Y249" s="6"/>
      <c r="Z249" s="6"/>
      <c r="AA249" s="5" t="s">
        <v>247</v>
      </c>
      <c r="AB249" s="5"/>
      <c r="AC249" s="6"/>
    </row>
    <row r="250" spans="1:29" ht="15.6" x14ac:dyDescent="0.3">
      <c r="A250" s="6"/>
      <c r="B250" s="15" t="s">
        <v>460</v>
      </c>
      <c r="C250" s="6"/>
      <c r="D250" s="6"/>
      <c r="E250" s="6"/>
      <c r="F250" s="6"/>
      <c r="G250" s="6"/>
      <c r="H250" s="6"/>
      <c r="I250" s="6"/>
      <c r="J250" s="6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5"/>
      <c r="X250" s="6"/>
      <c r="Y250" s="6"/>
      <c r="Z250" s="6"/>
      <c r="AA250" s="5" t="s">
        <v>424</v>
      </c>
      <c r="AB250" s="5"/>
      <c r="AC250" s="6"/>
    </row>
    <row r="251" spans="1:29" ht="15.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5"/>
      <c r="X251" s="6"/>
      <c r="Y251" s="6"/>
      <c r="Z251" s="6"/>
      <c r="AA251" s="5" t="s">
        <v>425</v>
      </c>
      <c r="AB251" s="5"/>
      <c r="AC251" s="6"/>
    </row>
    <row r="252" spans="1:29" ht="15.6" x14ac:dyDescent="0.3">
      <c r="A252" s="6"/>
      <c r="B252" s="6"/>
      <c r="C252" s="5" t="s">
        <v>482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5"/>
      <c r="X252" s="6"/>
      <c r="Y252" s="6"/>
      <c r="Z252" s="6"/>
      <c r="AA252" s="5"/>
      <c r="AB252" s="5"/>
      <c r="AC252" s="5"/>
    </row>
    <row r="253" spans="1:29" ht="15.6" x14ac:dyDescent="0.3">
      <c r="A253" s="57" t="s">
        <v>0</v>
      </c>
      <c r="B253" s="66" t="s">
        <v>469</v>
      </c>
      <c r="C253" s="60" t="s">
        <v>458</v>
      </c>
      <c r="D253" s="61"/>
      <c r="E253" s="62"/>
      <c r="F253" s="60" t="s">
        <v>1</v>
      </c>
      <c r="G253" s="61"/>
      <c r="H253" s="62"/>
      <c r="I253" s="60" t="s">
        <v>2</v>
      </c>
      <c r="J253" s="61"/>
      <c r="K253" s="62"/>
      <c r="L253" s="60" t="s">
        <v>8</v>
      </c>
      <c r="M253" s="61"/>
      <c r="N253" s="62"/>
      <c r="O253" s="60" t="s">
        <v>3</v>
      </c>
      <c r="P253" s="61"/>
      <c r="Q253" s="62"/>
      <c r="R253" s="31"/>
      <c r="S253" s="31" t="s">
        <v>4</v>
      </c>
      <c r="T253" s="31"/>
      <c r="U253" s="60" t="s">
        <v>5</v>
      </c>
      <c r="V253" s="61"/>
      <c r="W253" s="62"/>
      <c r="X253" s="57" t="s">
        <v>16</v>
      </c>
      <c r="Y253" s="57" t="s">
        <v>17</v>
      </c>
      <c r="Z253" s="57" t="s">
        <v>18</v>
      </c>
      <c r="AA253" s="57" t="s">
        <v>19</v>
      </c>
      <c r="AB253" s="57" t="s">
        <v>20</v>
      </c>
      <c r="AC253" s="57" t="s">
        <v>21</v>
      </c>
    </row>
    <row r="254" spans="1:29" ht="55.2" x14ac:dyDescent="0.25">
      <c r="A254" s="58"/>
      <c r="B254" s="67"/>
      <c r="C254" s="32" t="s">
        <v>6</v>
      </c>
      <c r="D254" s="32" t="s">
        <v>461</v>
      </c>
      <c r="E254" s="32" t="s">
        <v>7</v>
      </c>
      <c r="F254" s="32" t="s">
        <v>6</v>
      </c>
      <c r="G254" s="32" t="s">
        <v>461</v>
      </c>
      <c r="H254" s="32" t="s">
        <v>7</v>
      </c>
      <c r="I254" s="32" t="s">
        <v>6</v>
      </c>
      <c r="J254" s="32" t="s">
        <v>461</v>
      </c>
      <c r="K254" s="32" t="s">
        <v>7</v>
      </c>
      <c r="L254" s="32" t="s">
        <v>6</v>
      </c>
      <c r="M254" s="32" t="s">
        <v>461</v>
      </c>
      <c r="N254" s="32" t="s">
        <v>7</v>
      </c>
      <c r="O254" s="32" t="s">
        <v>6</v>
      </c>
      <c r="P254" s="32" t="s">
        <v>461</v>
      </c>
      <c r="Q254" s="32" t="s">
        <v>7</v>
      </c>
      <c r="R254" s="32" t="s">
        <v>6</v>
      </c>
      <c r="S254" s="32" t="s">
        <v>461</v>
      </c>
      <c r="T254" s="32" t="s">
        <v>7</v>
      </c>
      <c r="U254" s="32" t="s">
        <v>6</v>
      </c>
      <c r="V254" s="32" t="s">
        <v>461</v>
      </c>
      <c r="W254" s="32" t="s">
        <v>7</v>
      </c>
      <c r="X254" s="58"/>
      <c r="Y254" s="58"/>
      <c r="Z254" s="58"/>
      <c r="AA254" s="58"/>
      <c r="AB254" s="58"/>
      <c r="AC254" s="58"/>
    </row>
    <row r="255" spans="1:29" ht="15.6" x14ac:dyDescent="0.3">
      <c r="A255" s="59"/>
      <c r="B255" s="68"/>
      <c r="C255" s="33">
        <v>50</v>
      </c>
      <c r="D255" s="33">
        <v>50</v>
      </c>
      <c r="E255" s="33">
        <v>100</v>
      </c>
      <c r="F255" s="33">
        <v>50</v>
      </c>
      <c r="G255" s="33">
        <v>50</v>
      </c>
      <c r="H255" s="33">
        <v>100</v>
      </c>
      <c r="I255" s="33">
        <v>50</v>
      </c>
      <c r="J255" s="33">
        <v>50</v>
      </c>
      <c r="K255" s="33">
        <v>100</v>
      </c>
      <c r="L255" s="33">
        <v>50</v>
      </c>
      <c r="M255" s="33">
        <v>50</v>
      </c>
      <c r="N255" s="33">
        <v>100</v>
      </c>
      <c r="O255" s="33">
        <v>50</v>
      </c>
      <c r="P255" s="33">
        <v>50</v>
      </c>
      <c r="Q255" s="33">
        <v>100</v>
      </c>
      <c r="R255" s="33">
        <v>50</v>
      </c>
      <c r="S255" s="33">
        <v>50</v>
      </c>
      <c r="T255" s="33">
        <v>100</v>
      </c>
      <c r="U255" s="33">
        <v>50</v>
      </c>
      <c r="V255" s="33">
        <v>50</v>
      </c>
      <c r="W255" s="33">
        <v>100</v>
      </c>
      <c r="X255" s="59"/>
      <c r="Y255" s="59"/>
      <c r="Z255" s="59"/>
      <c r="AA255" s="59"/>
      <c r="AB255" s="59"/>
      <c r="AC255" s="59"/>
    </row>
    <row r="256" spans="1:29" ht="15.6" x14ac:dyDescent="0.3">
      <c r="A256" s="26">
        <v>61</v>
      </c>
      <c r="B256" s="27" t="s">
        <v>564</v>
      </c>
      <c r="C256" s="26">
        <v>26</v>
      </c>
      <c r="D256" s="26">
        <v>44</v>
      </c>
      <c r="E256" s="33">
        <f t="shared" ref="E256" si="88">SUM(C256:D256)</f>
        <v>70</v>
      </c>
      <c r="F256" s="26">
        <v>36</v>
      </c>
      <c r="G256" s="26">
        <v>47</v>
      </c>
      <c r="H256" s="33">
        <f t="shared" ref="H256" si="89">SUM(F256:G256)</f>
        <v>83</v>
      </c>
      <c r="I256" s="26">
        <v>31</v>
      </c>
      <c r="J256" s="26">
        <v>35</v>
      </c>
      <c r="K256" s="33">
        <f t="shared" ref="K256" si="90">SUM(I256:J256)</f>
        <v>66</v>
      </c>
      <c r="L256" s="26">
        <v>41</v>
      </c>
      <c r="M256" s="26">
        <v>28</v>
      </c>
      <c r="N256" s="33">
        <f t="shared" ref="N256" si="91">SUM(L256:M256)</f>
        <v>69</v>
      </c>
      <c r="O256" s="26">
        <v>33</v>
      </c>
      <c r="P256" s="26">
        <v>27</v>
      </c>
      <c r="Q256" s="33">
        <f t="shared" ref="Q256" si="92">SUM(O256:P256)</f>
        <v>60</v>
      </c>
      <c r="R256" s="26">
        <v>25</v>
      </c>
      <c r="S256" s="26">
        <v>45</v>
      </c>
      <c r="T256" s="33">
        <f t="shared" ref="T256" si="93">SUM(R256:S256)</f>
        <v>70</v>
      </c>
      <c r="U256" s="26">
        <v>25</v>
      </c>
      <c r="V256" s="26">
        <v>33</v>
      </c>
      <c r="W256" s="33">
        <f t="shared" ref="W256" si="94">SUM(U256:V256)</f>
        <v>58</v>
      </c>
      <c r="X256" s="30"/>
      <c r="Y256" s="30"/>
      <c r="Z256" s="30"/>
      <c r="AA256" s="33">
        <f t="shared" ref="AA256" si="95">SUM(W256,T256,Q256,N256,K256,H256,E256)</f>
        <v>476</v>
      </c>
      <c r="AB256" s="26" t="s">
        <v>117</v>
      </c>
      <c r="AC256" s="28"/>
    </row>
    <row r="257" spans="1:29" ht="15.6" x14ac:dyDescent="0.3">
      <c r="A257" s="26">
        <v>62</v>
      </c>
      <c r="B257" s="27" t="s">
        <v>563</v>
      </c>
      <c r="C257" s="26">
        <v>41</v>
      </c>
      <c r="D257" s="26">
        <v>44</v>
      </c>
      <c r="E257" s="33">
        <f t="shared" ref="E257:E267" si="96">SUM(C257:D257)</f>
        <v>85</v>
      </c>
      <c r="F257" s="26">
        <v>49</v>
      </c>
      <c r="G257" s="26">
        <v>46</v>
      </c>
      <c r="H257" s="33">
        <f t="shared" ref="H257:H267" si="97">SUM(F257:G257)</f>
        <v>95</v>
      </c>
      <c r="I257" s="26">
        <v>39</v>
      </c>
      <c r="J257" s="26">
        <v>41</v>
      </c>
      <c r="K257" s="33">
        <f t="shared" ref="K257:K267" si="98">SUM(I257:J257)</f>
        <v>80</v>
      </c>
      <c r="L257" s="26">
        <v>41</v>
      </c>
      <c r="M257" s="26">
        <v>42</v>
      </c>
      <c r="N257" s="33">
        <f t="shared" ref="N257:N267" si="99">SUM(L257:M257)</f>
        <v>83</v>
      </c>
      <c r="O257" s="26">
        <v>33</v>
      </c>
      <c r="P257" s="26">
        <v>32</v>
      </c>
      <c r="Q257" s="33">
        <f t="shared" ref="Q257:Q267" si="100">SUM(O257:P257)</f>
        <v>65</v>
      </c>
      <c r="R257" s="26">
        <v>45</v>
      </c>
      <c r="S257" s="26">
        <v>31</v>
      </c>
      <c r="T257" s="33">
        <f t="shared" ref="T257:T267" si="101">SUM(R257:S257)</f>
        <v>76</v>
      </c>
      <c r="U257" s="26">
        <v>37</v>
      </c>
      <c r="V257" s="26">
        <v>43</v>
      </c>
      <c r="W257" s="33">
        <f t="shared" ref="W257:W267" si="102">SUM(U257:V257)</f>
        <v>80</v>
      </c>
      <c r="X257" s="30"/>
      <c r="Y257" s="30"/>
      <c r="Z257" s="30"/>
      <c r="AA257" s="33">
        <f t="shared" ref="AA257:AA267" si="103">SUM(W257,T257,Q257,N257,K257,H257,E257)</f>
        <v>564</v>
      </c>
      <c r="AB257" s="26" t="s">
        <v>117</v>
      </c>
      <c r="AC257" s="28"/>
    </row>
    <row r="258" spans="1:29" ht="15.6" x14ac:dyDescent="0.3">
      <c r="A258" s="26">
        <v>63</v>
      </c>
      <c r="B258" s="29" t="s">
        <v>518</v>
      </c>
      <c r="C258" s="26">
        <v>25</v>
      </c>
      <c r="D258" s="26">
        <v>25</v>
      </c>
      <c r="E258" s="33">
        <f t="shared" si="96"/>
        <v>50</v>
      </c>
      <c r="F258" s="26">
        <v>29</v>
      </c>
      <c r="G258" s="26">
        <v>28</v>
      </c>
      <c r="H258" s="33">
        <f t="shared" si="97"/>
        <v>57</v>
      </c>
      <c r="I258" s="26">
        <v>25</v>
      </c>
      <c r="J258" s="26">
        <v>26</v>
      </c>
      <c r="K258" s="33">
        <f t="shared" si="98"/>
        <v>51</v>
      </c>
      <c r="L258" s="26">
        <v>25</v>
      </c>
      <c r="M258" s="26">
        <v>28</v>
      </c>
      <c r="N258" s="33">
        <f t="shared" si="99"/>
        <v>53</v>
      </c>
      <c r="O258" s="26">
        <v>30</v>
      </c>
      <c r="P258" s="26">
        <v>20</v>
      </c>
      <c r="Q258" s="33">
        <f t="shared" si="100"/>
        <v>50</v>
      </c>
      <c r="R258" s="26">
        <v>25</v>
      </c>
      <c r="S258" s="26">
        <v>26</v>
      </c>
      <c r="T258" s="33">
        <f t="shared" si="101"/>
        <v>51</v>
      </c>
      <c r="U258" s="26">
        <v>25</v>
      </c>
      <c r="V258" s="26">
        <v>28</v>
      </c>
      <c r="W258" s="33">
        <f t="shared" si="102"/>
        <v>53</v>
      </c>
      <c r="X258" s="30"/>
      <c r="Y258" s="30"/>
      <c r="Z258" s="30"/>
      <c r="AA258" s="33">
        <f t="shared" si="103"/>
        <v>365</v>
      </c>
      <c r="AB258" s="26" t="s">
        <v>117</v>
      </c>
      <c r="AC258" s="28"/>
    </row>
    <row r="259" spans="1:29" ht="15.6" x14ac:dyDescent="0.3">
      <c r="A259" s="26">
        <v>64</v>
      </c>
      <c r="B259" s="29" t="s">
        <v>416</v>
      </c>
      <c r="C259" s="26">
        <v>49</v>
      </c>
      <c r="D259" s="26">
        <v>44</v>
      </c>
      <c r="E259" s="33">
        <f t="shared" si="96"/>
        <v>93</v>
      </c>
      <c r="F259" s="26">
        <v>50</v>
      </c>
      <c r="G259" s="26">
        <v>50</v>
      </c>
      <c r="H259" s="33">
        <f t="shared" si="97"/>
        <v>100</v>
      </c>
      <c r="I259" s="26">
        <v>46</v>
      </c>
      <c r="J259" s="26">
        <v>47</v>
      </c>
      <c r="K259" s="33">
        <f t="shared" si="98"/>
        <v>93</v>
      </c>
      <c r="L259" s="26">
        <v>45</v>
      </c>
      <c r="M259" s="26">
        <v>43</v>
      </c>
      <c r="N259" s="33">
        <f t="shared" si="99"/>
        <v>88</v>
      </c>
      <c r="O259" s="26">
        <v>45</v>
      </c>
      <c r="P259" s="26">
        <v>49</v>
      </c>
      <c r="Q259" s="33">
        <f t="shared" si="100"/>
        <v>94</v>
      </c>
      <c r="R259" s="26">
        <v>43</v>
      </c>
      <c r="S259" s="26">
        <v>50</v>
      </c>
      <c r="T259" s="33">
        <f t="shared" si="101"/>
        <v>93</v>
      </c>
      <c r="U259" s="26">
        <v>39</v>
      </c>
      <c r="V259" s="26">
        <v>49</v>
      </c>
      <c r="W259" s="33">
        <f t="shared" si="102"/>
        <v>88</v>
      </c>
      <c r="X259" s="30"/>
      <c r="Y259" s="30"/>
      <c r="Z259" s="30"/>
      <c r="AA259" s="33">
        <f t="shared" si="103"/>
        <v>649</v>
      </c>
      <c r="AB259" s="26" t="s">
        <v>117</v>
      </c>
      <c r="AC259" s="28"/>
    </row>
    <row r="260" spans="1:29" ht="15.6" x14ac:dyDescent="0.3">
      <c r="A260" s="26">
        <v>65</v>
      </c>
      <c r="B260" s="29" t="s">
        <v>559</v>
      </c>
      <c r="C260" s="26">
        <v>38</v>
      </c>
      <c r="D260" s="26">
        <v>31</v>
      </c>
      <c r="E260" s="33">
        <f t="shared" si="96"/>
        <v>69</v>
      </c>
      <c r="F260" s="26">
        <v>44</v>
      </c>
      <c r="G260" s="26">
        <v>27</v>
      </c>
      <c r="H260" s="33">
        <f t="shared" si="97"/>
        <v>71</v>
      </c>
      <c r="I260" s="26">
        <v>25</v>
      </c>
      <c r="J260" s="26">
        <v>25</v>
      </c>
      <c r="K260" s="33">
        <f>SUM(I260:J260)</f>
        <v>50</v>
      </c>
      <c r="L260" s="26">
        <v>46</v>
      </c>
      <c r="M260" s="26">
        <v>29</v>
      </c>
      <c r="N260" s="33">
        <f t="shared" si="99"/>
        <v>75</v>
      </c>
      <c r="O260" s="26">
        <v>26</v>
      </c>
      <c r="P260" s="26">
        <v>31</v>
      </c>
      <c r="Q260" s="33">
        <f t="shared" si="100"/>
        <v>57</v>
      </c>
      <c r="R260" s="26">
        <v>26</v>
      </c>
      <c r="S260" s="26">
        <v>26</v>
      </c>
      <c r="T260" s="33">
        <f t="shared" si="101"/>
        <v>52</v>
      </c>
      <c r="U260" s="26">
        <v>39</v>
      </c>
      <c r="V260" s="26">
        <v>29</v>
      </c>
      <c r="W260" s="33">
        <f t="shared" si="102"/>
        <v>68</v>
      </c>
      <c r="X260" s="30"/>
      <c r="Y260" s="30"/>
      <c r="Z260" s="30"/>
      <c r="AA260" s="33">
        <f t="shared" si="103"/>
        <v>442</v>
      </c>
      <c r="AB260" s="26" t="s">
        <v>117</v>
      </c>
      <c r="AC260" s="28"/>
    </row>
    <row r="261" spans="1:29" ht="15.6" x14ac:dyDescent="0.3">
      <c r="A261" s="26">
        <v>66</v>
      </c>
      <c r="B261" s="29" t="s">
        <v>640</v>
      </c>
      <c r="C261" s="26">
        <v>43</v>
      </c>
      <c r="D261" s="26">
        <v>34</v>
      </c>
      <c r="E261" s="33">
        <f t="shared" si="96"/>
        <v>77</v>
      </c>
      <c r="F261" s="26">
        <v>45</v>
      </c>
      <c r="G261" s="26">
        <v>46</v>
      </c>
      <c r="H261" s="33">
        <f t="shared" si="97"/>
        <v>91</v>
      </c>
      <c r="I261" s="26">
        <v>36</v>
      </c>
      <c r="J261" s="26">
        <v>32</v>
      </c>
      <c r="K261" s="33">
        <f t="shared" si="98"/>
        <v>68</v>
      </c>
      <c r="L261" s="26">
        <v>48</v>
      </c>
      <c r="M261" s="26">
        <v>25</v>
      </c>
      <c r="N261" s="33">
        <f t="shared" si="99"/>
        <v>73</v>
      </c>
      <c r="O261" s="26">
        <v>27</v>
      </c>
      <c r="P261" s="26">
        <v>28</v>
      </c>
      <c r="Q261" s="33">
        <f t="shared" si="100"/>
        <v>55</v>
      </c>
      <c r="R261" s="26">
        <v>25</v>
      </c>
      <c r="S261" s="26">
        <v>26</v>
      </c>
      <c r="T261" s="33">
        <f t="shared" si="101"/>
        <v>51</v>
      </c>
      <c r="U261" s="26">
        <v>25</v>
      </c>
      <c r="V261" s="26">
        <v>43</v>
      </c>
      <c r="W261" s="33">
        <f t="shared" si="102"/>
        <v>68</v>
      </c>
      <c r="X261" s="30"/>
      <c r="Y261" s="30"/>
      <c r="Z261" s="30"/>
      <c r="AA261" s="33">
        <f t="shared" si="103"/>
        <v>483</v>
      </c>
      <c r="AB261" s="26" t="s">
        <v>117</v>
      </c>
      <c r="AC261" s="28"/>
    </row>
    <row r="262" spans="1:29" ht="15.6" x14ac:dyDescent="0.3">
      <c r="A262" s="26">
        <v>67</v>
      </c>
      <c r="B262" s="29" t="s">
        <v>417</v>
      </c>
      <c r="C262" s="26">
        <v>28</v>
      </c>
      <c r="D262" s="26">
        <v>25</v>
      </c>
      <c r="E262" s="33">
        <f t="shared" si="96"/>
        <v>53</v>
      </c>
      <c r="F262" s="26">
        <v>41</v>
      </c>
      <c r="G262" s="26">
        <v>31</v>
      </c>
      <c r="H262" s="33">
        <f t="shared" si="97"/>
        <v>72</v>
      </c>
      <c r="I262" s="26">
        <v>31</v>
      </c>
      <c r="J262" s="26">
        <v>29</v>
      </c>
      <c r="K262" s="33">
        <f t="shared" si="98"/>
        <v>60</v>
      </c>
      <c r="L262" s="26">
        <v>17</v>
      </c>
      <c r="M262" s="26">
        <v>33</v>
      </c>
      <c r="N262" s="33">
        <f t="shared" si="99"/>
        <v>50</v>
      </c>
      <c r="O262" s="26">
        <v>37</v>
      </c>
      <c r="P262" s="26">
        <v>29</v>
      </c>
      <c r="Q262" s="33">
        <f t="shared" si="100"/>
        <v>66</v>
      </c>
      <c r="R262" s="26">
        <v>25</v>
      </c>
      <c r="S262" s="26">
        <v>28</v>
      </c>
      <c r="T262" s="33">
        <f t="shared" si="101"/>
        <v>53</v>
      </c>
      <c r="U262" s="26">
        <v>14</v>
      </c>
      <c r="V262" s="26">
        <v>36</v>
      </c>
      <c r="W262" s="33">
        <f t="shared" si="102"/>
        <v>50</v>
      </c>
      <c r="X262" s="30"/>
      <c r="Y262" s="30"/>
      <c r="Z262" s="30"/>
      <c r="AA262" s="33">
        <f t="shared" si="103"/>
        <v>404</v>
      </c>
      <c r="AB262" s="26" t="s">
        <v>117</v>
      </c>
      <c r="AC262" s="28"/>
    </row>
    <row r="263" spans="1:29" ht="15.6" x14ac:dyDescent="0.3">
      <c r="A263" s="26">
        <v>68</v>
      </c>
      <c r="B263" s="29" t="s">
        <v>418</v>
      </c>
      <c r="C263" s="26">
        <v>20</v>
      </c>
      <c r="D263" s="26">
        <v>30</v>
      </c>
      <c r="E263" s="33">
        <f t="shared" si="96"/>
        <v>50</v>
      </c>
      <c r="F263" s="26">
        <v>27</v>
      </c>
      <c r="G263" s="26">
        <v>28</v>
      </c>
      <c r="H263" s="33">
        <f t="shared" si="97"/>
        <v>55</v>
      </c>
      <c r="I263" s="26">
        <v>27</v>
      </c>
      <c r="J263" s="26">
        <v>24</v>
      </c>
      <c r="K263" s="33">
        <f t="shared" si="98"/>
        <v>51</v>
      </c>
      <c r="L263" s="26">
        <v>20</v>
      </c>
      <c r="M263" s="26">
        <v>30</v>
      </c>
      <c r="N263" s="33">
        <f t="shared" si="99"/>
        <v>50</v>
      </c>
      <c r="O263" s="26">
        <v>25</v>
      </c>
      <c r="P263" s="26">
        <v>25</v>
      </c>
      <c r="Q263" s="33">
        <f t="shared" si="100"/>
        <v>50</v>
      </c>
      <c r="R263" s="26">
        <v>18</v>
      </c>
      <c r="S263" s="26">
        <v>32</v>
      </c>
      <c r="T263" s="33">
        <f t="shared" si="101"/>
        <v>50</v>
      </c>
      <c r="U263" s="26">
        <v>12</v>
      </c>
      <c r="V263" s="26">
        <v>38</v>
      </c>
      <c r="W263" s="33">
        <f t="shared" si="102"/>
        <v>50</v>
      </c>
      <c r="X263" s="30"/>
      <c r="Y263" s="30"/>
      <c r="Z263" s="30"/>
      <c r="AA263" s="33">
        <f t="shared" si="103"/>
        <v>356</v>
      </c>
      <c r="AB263" s="26" t="s">
        <v>117</v>
      </c>
      <c r="AC263" s="28"/>
    </row>
    <row r="264" spans="1:29" ht="15.6" x14ac:dyDescent="0.3">
      <c r="A264" s="26">
        <v>69</v>
      </c>
      <c r="B264" s="29" t="s">
        <v>560</v>
      </c>
      <c r="C264" s="26">
        <v>49</v>
      </c>
      <c r="D264" s="26">
        <v>31</v>
      </c>
      <c r="E264" s="33">
        <f t="shared" si="96"/>
        <v>80</v>
      </c>
      <c r="F264" s="26">
        <v>44</v>
      </c>
      <c r="G264" s="26">
        <v>34</v>
      </c>
      <c r="H264" s="33">
        <f t="shared" si="97"/>
        <v>78</v>
      </c>
      <c r="I264" s="26">
        <v>43</v>
      </c>
      <c r="J264" s="26">
        <v>32</v>
      </c>
      <c r="K264" s="33">
        <f t="shared" si="98"/>
        <v>75</v>
      </c>
      <c r="L264" s="26">
        <v>25</v>
      </c>
      <c r="M264" s="26">
        <v>26</v>
      </c>
      <c r="N264" s="33">
        <f t="shared" si="99"/>
        <v>51</v>
      </c>
      <c r="O264" s="26">
        <v>27</v>
      </c>
      <c r="P264" s="26">
        <v>27</v>
      </c>
      <c r="Q264" s="33">
        <f t="shared" si="100"/>
        <v>54</v>
      </c>
      <c r="R264" s="26">
        <v>28</v>
      </c>
      <c r="S264" s="26">
        <v>38</v>
      </c>
      <c r="T264" s="33">
        <f t="shared" si="101"/>
        <v>66</v>
      </c>
      <c r="U264" s="26">
        <v>29</v>
      </c>
      <c r="V264" s="26">
        <v>42</v>
      </c>
      <c r="W264" s="33">
        <f t="shared" si="102"/>
        <v>71</v>
      </c>
      <c r="X264" s="30"/>
      <c r="Y264" s="30"/>
      <c r="Z264" s="30"/>
      <c r="AA264" s="33">
        <f t="shared" si="103"/>
        <v>475</v>
      </c>
      <c r="AB264" s="26" t="s">
        <v>117</v>
      </c>
      <c r="AC264" s="28"/>
    </row>
    <row r="265" spans="1:29" ht="15.6" x14ac:dyDescent="0.3">
      <c r="A265" s="26">
        <v>70</v>
      </c>
      <c r="B265" s="29" t="s">
        <v>561</v>
      </c>
      <c r="C265" s="26">
        <v>39</v>
      </c>
      <c r="D265" s="26">
        <v>40</v>
      </c>
      <c r="E265" s="33">
        <f t="shared" si="96"/>
        <v>79</v>
      </c>
      <c r="F265" s="26">
        <v>46</v>
      </c>
      <c r="G265" s="26">
        <v>30</v>
      </c>
      <c r="H265" s="33">
        <f t="shared" si="97"/>
        <v>76</v>
      </c>
      <c r="I265" s="26">
        <v>39</v>
      </c>
      <c r="J265" s="26">
        <v>30</v>
      </c>
      <c r="K265" s="33">
        <f t="shared" si="98"/>
        <v>69</v>
      </c>
      <c r="L265" s="26">
        <v>41</v>
      </c>
      <c r="M265" s="26">
        <v>30</v>
      </c>
      <c r="N265" s="33">
        <f t="shared" si="99"/>
        <v>71</v>
      </c>
      <c r="O265" s="26">
        <v>40</v>
      </c>
      <c r="P265" s="26">
        <v>33</v>
      </c>
      <c r="Q265" s="33">
        <f t="shared" si="100"/>
        <v>73</v>
      </c>
      <c r="R265" s="26">
        <v>25</v>
      </c>
      <c r="S265" s="26">
        <v>30</v>
      </c>
      <c r="T265" s="33">
        <f t="shared" si="101"/>
        <v>55</v>
      </c>
      <c r="U265" s="26">
        <v>24</v>
      </c>
      <c r="V265" s="26">
        <v>40</v>
      </c>
      <c r="W265" s="33">
        <f t="shared" si="102"/>
        <v>64</v>
      </c>
      <c r="X265" s="30"/>
      <c r="Y265" s="30"/>
      <c r="Z265" s="30"/>
      <c r="AA265" s="33">
        <f t="shared" si="103"/>
        <v>487</v>
      </c>
      <c r="AB265" s="26" t="s">
        <v>117</v>
      </c>
      <c r="AC265" s="28"/>
    </row>
    <row r="266" spans="1:29" ht="15.6" x14ac:dyDescent="0.3">
      <c r="A266" s="26">
        <v>71</v>
      </c>
      <c r="B266" s="27" t="s">
        <v>562</v>
      </c>
      <c r="C266" s="26">
        <v>38</v>
      </c>
      <c r="D266" s="26">
        <v>25</v>
      </c>
      <c r="E266" s="33">
        <f t="shared" si="96"/>
        <v>63</v>
      </c>
      <c r="F266" s="26">
        <v>33</v>
      </c>
      <c r="G266" s="26">
        <v>35</v>
      </c>
      <c r="H266" s="33">
        <f t="shared" si="97"/>
        <v>68</v>
      </c>
      <c r="I266" s="26">
        <v>27</v>
      </c>
      <c r="J266" s="26">
        <v>25</v>
      </c>
      <c r="K266" s="33">
        <f t="shared" si="98"/>
        <v>52</v>
      </c>
      <c r="L266" s="26">
        <v>35</v>
      </c>
      <c r="M266" s="26">
        <v>26</v>
      </c>
      <c r="N266" s="33">
        <f t="shared" si="99"/>
        <v>61</v>
      </c>
      <c r="O266" s="26">
        <v>26</v>
      </c>
      <c r="P266" s="26">
        <v>29</v>
      </c>
      <c r="Q266" s="33">
        <f t="shared" si="100"/>
        <v>55</v>
      </c>
      <c r="R266" s="26">
        <v>25</v>
      </c>
      <c r="S266" s="26">
        <v>26</v>
      </c>
      <c r="T266" s="33">
        <f t="shared" si="101"/>
        <v>51</v>
      </c>
      <c r="U266" s="26">
        <v>25</v>
      </c>
      <c r="V266" s="26">
        <v>30</v>
      </c>
      <c r="W266" s="33">
        <f t="shared" si="102"/>
        <v>55</v>
      </c>
      <c r="X266" s="30"/>
      <c r="Y266" s="30"/>
      <c r="Z266" s="30"/>
      <c r="AA266" s="33">
        <f t="shared" si="103"/>
        <v>405</v>
      </c>
      <c r="AB266" s="26" t="s">
        <v>117</v>
      </c>
      <c r="AC266" s="28"/>
    </row>
    <row r="267" spans="1:29" ht="15.6" x14ac:dyDescent="0.3">
      <c r="A267" s="26">
        <v>72</v>
      </c>
      <c r="B267" s="27" t="s">
        <v>450</v>
      </c>
      <c r="C267" s="26">
        <v>22</v>
      </c>
      <c r="D267" s="26">
        <v>28</v>
      </c>
      <c r="E267" s="33">
        <f t="shared" si="96"/>
        <v>50</v>
      </c>
      <c r="F267" s="26">
        <v>27</v>
      </c>
      <c r="G267" s="26">
        <v>29</v>
      </c>
      <c r="H267" s="33">
        <f t="shared" si="97"/>
        <v>56</v>
      </c>
      <c r="I267" s="26">
        <v>20</v>
      </c>
      <c r="J267" s="26">
        <v>30</v>
      </c>
      <c r="K267" s="33">
        <f t="shared" si="98"/>
        <v>50</v>
      </c>
      <c r="L267" s="26">
        <v>28</v>
      </c>
      <c r="M267" s="26">
        <v>24</v>
      </c>
      <c r="N267" s="33">
        <f t="shared" si="99"/>
        <v>52</v>
      </c>
      <c r="O267" s="26">
        <v>25</v>
      </c>
      <c r="P267" s="26">
        <v>25</v>
      </c>
      <c r="Q267" s="33">
        <f t="shared" si="100"/>
        <v>50</v>
      </c>
      <c r="R267" s="26">
        <v>19</v>
      </c>
      <c r="S267" s="26">
        <v>31</v>
      </c>
      <c r="T267" s="33">
        <f t="shared" si="101"/>
        <v>50</v>
      </c>
      <c r="U267" s="26">
        <v>13</v>
      </c>
      <c r="V267" s="26">
        <v>37</v>
      </c>
      <c r="W267" s="33">
        <f t="shared" si="102"/>
        <v>50</v>
      </c>
      <c r="X267" s="30"/>
      <c r="Y267" s="30"/>
      <c r="Z267" s="30"/>
      <c r="AA267" s="33">
        <f t="shared" si="103"/>
        <v>358</v>
      </c>
      <c r="AB267" s="26" t="s">
        <v>117</v>
      </c>
      <c r="AC267" s="28"/>
    </row>
    <row r="268" spans="1:29" ht="15.6" x14ac:dyDescent="0.3">
      <c r="A268" s="26"/>
      <c r="B268" s="27"/>
      <c r="C268" s="26"/>
      <c r="D268" s="26"/>
      <c r="E268" s="33"/>
      <c r="F268" s="26"/>
      <c r="G268" s="26"/>
      <c r="H268" s="33"/>
      <c r="I268" s="26"/>
      <c r="J268" s="26"/>
      <c r="K268" s="33"/>
      <c r="L268" s="26"/>
      <c r="M268" s="26"/>
      <c r="N268" s="33"/>
      <c r="O268" s="26"/>
      <c r="P268" s="26"/>
      <c r="Q268" s="33"/>
      <c r="R268" s="26"/>
      <c r="S268" s="26"/>
      <c r="T268" s="33"/>
      <c r="U268" s="26"/>
      <c r="V268" s="26"/>
      <c r="W268" s="33"/>
      <c r="X268" s="30"/>
      <c r="Y268" s="30"/>
      <c r="Z268" s="30"/>
      <c r="AA268" s="33"/>
      <c r="AB268" s="26"/>
      <c r="AC268" s="28"/>
    </row>
    <row r="269" spans="1:29" ht="15.6" x14ac:dyDescent="0.3">
      <c r="A269" s="26"/>
      <c r="B269" s="27"/>
      <c r="C269" s="26"/>
      <c r="D269" s="26"/>
      <c r="E269" s="33"/>
      <c r="F269" s="26"/>
      <c r="G269" s="26"/>
      <c r="H269" s="33"/>
      <c r="I269" s="26"/>
      <c r="J269" s="26"/>
      <c r="K269" s="33"/>
      <c r="L269" s="26"/>
      <c r="M269" s="26"/>
      <c r="N269" s="33"/>
      <c r="O269" s="26"/>
      <c r="P269" s="26"/>
      <c r="Q269" s="33"/>
      <c r="R269" s="26"/>
      <c r="S269" s="26"/>
      <c r="T269" s="33"/>
      <c r="U269" s="26"/>
      <c r="V269" s="26"/>
      <c r="W269" s="33"/>
      <c r="X269" s="30"/>
      <c r="Y269" s="30"/>
      <c r="Z269" s="30"/>
      <c r="AA269" s="33"/>
      <c r="AB269" s="26"/>
      <c r="AC269" s="28"/>
    </row>
    <row r="270" spans="1:29" ht="15.6" x14ac:dyDescent="0.3">
      <c r="A270" s="26"/>
      <c r="B270" s="27"/>
      <c r="C270" s="26"/>
      <c r="D270" s="26"/>
      <c r="E270" s="33"/>
      <c r="F270" s="26"/>
      <c r="G270" s="26"/>
      <c r="H270" s="33"/>
      <c r="I270" s="26"/>
      <c r="J270" s="26"/>
      <c r="K270" s="33"/>
      <c r="L270" s="26"/>
      <c r="M270" s="26"/>
      <c r="N270" s="33"/>
      <c r="O270" s="26"/>
      <c r="P270" s="26"/>
      <c r="Q270" s="33"/>
      <c r="R270" s="26"/>
      <c r="S270" s="26"/>
      <c r="T270" s="33"/>
      <c r="U270" s="26"/>
      <c r="V270" s="26"/>
      <c r="W270" s="33"/>
      <c r="X270" s="30"/>
      <c r="Y270" s="30"/>
      <c r="Z270" s="30"/>
      <c r="AA270" s="33"/>
      <c r="AB270" s="26"/>
      <c r="AC270" s="28"/>
    </row>
    <row r="271" spans="1:29" ht="15.6" x14ac:dyDescent="0.3">
      <c r="A271" s="26"/>
      <c r="B271" s="27"/>
      <c r="C271" s="26"/>
      <c r="D271" s="26"/>
      <c r="E271" s="33"/>
      <c r="F271" s="26"/>
      <c r="G271" s="26"/>
      <c r="H271" s="33"/>
      <c r="I271" s="26"/>
      <c r="J271" s="26"/>
      <c r="K271" s="33"/>
      <c r="L271" s="26"/>
      <c r="M271" s="26"/>
      <c r="N271" s="33"/>
      <c r="O271" s="26"/>
      <c r="P271" s="26"/>
      <c r="Q271" s="33"/>
      <c r="R271" s="26"/>
      <c r="S271" s="26"/>
      <c r="T271" s="33"/>
      <c r="U271" s="26"/>
      <c r="V271" s="26"/>
      <c r="W271" s="33"/>
      <c r="X271" s="30"/>
      <c r="Y271" s="30"/>
      <c r="Z271" s="30"/>
      <c r="AA271" s="33"/>
      <c r="AB271" s="26"/>
      <c r="AC271" s="28"/>
    </row>
    <row r="272" spans="1:29" ht="15.6" x14ac:dyDescent="0.3">
      <c r="A272" s="26"/>
      <c r="B272" s="26"/>
      <c r="C272" s="26"/>
      <c r="D272" s="26"/>
      <c r="E272" s="33"/>
      <c r="F272" s="26"/>
      <c r="G272" s="26"/>
      <c r="H272" s="33"/>
      <c r="I272" s="26"/>
      <c r="J272" s="26"/>
      <c r="K272" s="33"/>
      <c r="L272" s="26"/>
      <c r="M272" s="26"/>
      <c r="N272" s="33"/>
      <c r="O272" s="26"/>
      <c r="P272" s="26"/>
      <c r="Q272" s="33"/>
      <c r="R272" s="26"/>
      <c r="S272" s="26"/>
      <c r="T272" s="33"/>
      <c r="U272" s="26"/>
      <c r="V272" s="26"/>
      <c r="W272" s="33"/>
      <c r="X272" s="30"/>
      <c r="Y272" s="30"/>
      <c r="Z272" s="30"/>
      <c r="AA272" s="33"/>
      <c r="AB272" s="26"/>
      <c r="AC272" s="28"/>
    </row>
    <row r="273" spans="1:29" ht="15.6" x14ac:dyDescent="0.3">
      <c r="A273" s="26"/>
      <c r="B273" s="27"/>
      <c r="C273" s="26"/>
      <c r="D273" s="26"/>
      <c r="E273" s="33"/>
      <c r="F273" s="26"/>
      <c r="G273" s="26"/>
      <c r="H273" s="33"/>
      <c r="I273" s="26"/>
      <c r="J273" s="26"/>
      <c r="K273" s="33"/>
      <c r="L273" s="26"/>
      <c r="M273" s="26"/>
      <c r="N273" s="33"/>
      <c r="O273" s="26"/>
      <c r="P273" s="26"/>
      <c r="Q273" s="33"/>
      <c r="R273" s="26"/>
      <c r="S273" s="26"/>
      <c r="T273" s="33"/>
      <c r="U273" s="26"/>
      <c r="V273" s="26"/>
      <c r="W273" s="33"/>
      <c r="X273" s="30"/>
      <c r="Y273" s="30"/>
      <c r="Z273" s="30"/>
      <c r="AA273" s="33"/>
      <c r="AB273" s="26"/>
      <c r="AC273" s="28"/>
    </row>
    <row r="274" spans="1:29" ht="15.6" x14ac:dyDescent="0.3">
      <c r="A274" s="26"/>
      <c r="B274" s="27"/>
      <c r="C274" s="26"/>
      <c r="D274" s="26"/>
      <c r="E274" s="33"/>
      <c r="F274" s="26"/>
      <c r="G274" s="26"/>
      <c r="H274" s="33"/>
      <c r="I274" s="26"/>
      <c r="J274" s="26"/>
      <c r="K274" s="33"/>
      <c r="L274" s="26"/>
      <c r="M274" s="26"/>
      <c r="N274" s="33"/>
      <c r="O274" s="26"/>
      <c r="P274" s="26"/>
      <c r="Q274" s="33"/>
      <c r="R274" s="26"/>
      <c r="S274" s="26"/>
      <c r="T274" s="33"/>
      <c r="U274" s="26"/>
      <c r="V274" s="26"/>
      <c r="W274" s="33"/>
      <c r="X274" s="30"/>
      <c r="Y274" s="30"/>
      <c r="Z274" s="30"/>
      <c r="AA274" s="33"/>
      <c r="AB274" s="26"/>
      <c r="AC274" s="28"/>
    </row>
    <row r="275" spans="1:29" ht="15.6" x14ac:dyDescent="0.3">
      <c r="A275" s="26"/>
      <c r="B275" s="27"/>
      <c r="C275" s="26"/>
      <c r="D275" s="26"/>
      <c r="E275" s="33"/>
      <c r="F275" s="26"/>
      <c r="G275" s="26"/>
      <c r="H275" s="33"/>
      <c r="I275" s="26"/>
      <c r="J275" s="26"/>
      <c r="K275" s="33"/>
      <c r="L275" s="26"/>
      <c r="M275" s="26"/>
      <c r="N275" s="33"/>
      <c r="O275" s="26"/>
      <c r="P275" s="26"/>
      <c r="Q275" s="33"/>
      <c r="R275" s="26"/>
      <c r="S275" s="26"/>
      <c r="T275" s="33"/>
      <c r="U275" s="26"/>
      <c r="V275" s="26"/>
      <c r="W275" s="33"/>
      <c r="X275" s="30"/>
      <c r="Y275" s="30"/>
      <c r="Z275" s="30"/>
      <c r="AA275" s="33"/>
      <c r="AB275" s="26"/>
      <c r="AC275" s="28"/>
    </row>
    <row r="276" spans="1:29" ht="15.6" x14ac:dyDescent="0.3">
      <c r="A276" s="3" t="s">
        <v>390</v>
      </c>
      <c r="B276" s="11"/>
      <c r="C276" s="8"/>
      <c r="D276" s="8"/>
      <c r="E276" s="22"/>
      <c r="F276" s="22" t="s">
        <v>468</v>
      </c>
      <c r="G276" s="22"/>
      <c r="H276" s="22"/>
      <c r="I276" s="22"/>
      <c r="J276" s="22"/>
      <c r="K276" s="22"/>
      <c r="L276" s="22"/>
      <c r="M276" s="22"/>
      <c r="N276" s="22" t="s">
        <v>82</v>
      </c>
      <c r="O276" s="22"/>
      <c r="P276" s="22"/>
      <c r="Q276" s="22"/>
      <c r="R276" s="22"/>
      <c r="S276" s="22"/>
      <c r="T276" s="22" t="s">
        <v>83</v>
      </c>
      <c r="U276" s="22"/>
      <c r="V276" s="22"/>
      <c r="W276" s="22"/>
      <c r="X276" s="22"/>
      <c r="Y276" s="22"/>
      <c r="Z276" s="9"/>
      <c r="AA276" s="7"/>
      <c r="AB276" s="5" t="s">
        <v>84</v>
      </c>
      <c r="AC276" s="5"/>
    </row>
    <row r="277" spans="1:29" x14ac:dyDescent="0.25">
      <c r="A277" s="22" t="s">
        <v>89</v>
      </c>
      <c r="B277" s="22"/>
      <c r="C277" s="22"/>
      <c r="D277" s="22"/>
      <c r="E277" s="22"/>
      <c r="F277" s="22" t="s">
        <v>90</v>
      </c>
      <c r="G277" s="22"/>
      <c r="H277" s="22"/>
      <c r="I277" s="22"/>
      <c r="J277" s="22"/>
      <c r="K277" s="22"/>
      <c r="L277" s="22"/>
      <c r="M277" s="22"/>
      <c r="N277" s="22" t="s">
        <v>462</v>
      </c>
      <c r="O277" s="22"/>
      <c r="P277" s="22"/>
      <c r="Q277" s="22"/>
      <c r="R277" s="22"/>
      <c r="S277" s="22"/>
      <c r="T277" s="22" t="s">
        <v>463</v>
      </c>
      <c r="U277" s="22"/>
      <c r="V277" s="22"/>
      <c r="W277" s="22"/>
      <c r="X277" s="22"/>
      <c r="Y277" s="22"/>
      <c r="Z277" s="3"/>
      <c r="AA277" s="3"/>
      <c r="AB277" s="3" t="s">
        <v>85</v>
      </c>
      <c r="AC277" s="3"/>
    </row>
    <row r="278" spans="1:29" x14ac:dyDescent="0.25">
      <c r="A278" s="22" t="s">
        <v>466</v>
      </c>
      <c r="B278" s="22"/>
      <c r="C278" s="22"/>
      <c r="D278" s="22"/>
      <c r="E278" s="22"/>
      <c r="F278" s="22" t="s">
        <v>91</v>
      </c>
      <c r="G278" s="22"/>
      <c r="H278" s="22"/>
      <c r="I278" s="22"/>
      <c r="J278" s="22"/>
      <c r="K278" s="22"/>
      <c r="L278" s="22"/>
      <c r="M278" s="22"/>
      <c r="N278" s="22" t="s">
        <v>94</v>
      </c>
      <c r="O278" s="22"/>
      <c r="P278" s="22"/>
      <c r="Q278" s="22"/>
      <c r="R278" s="22"/>
      <c r="S278" s="22"/>
      <c r="T278" s="22" t="s">
        <v>97</v>
      </c>
      <c r="U278" s="22"/>
      <c r="V278" s="22"/>
      <c r="W278" s="22"/>
      <c r="X278" s="22"/>
      <c r="Y278" s="22"/>
      <c r="Z278" s="3"/>
      <c r="AA278" s="3"/>
      <c r="AB278" s="3" t="s">
        <v>99</v>
      </c>
      <c r="AC278" s="3"/>
    </row>
    <row r="279" spans="1:29" x14ac:dyDescent="0.25">
      <c r="A279" s="22" t="s">
        <v>89</v>
      </c>
      <c r="B279" s="22"/>
      <c r="C279" s="22"/>
      <c r="D279" s="22"/>
      <c r="E279" s="22"/>
      <c r="F279" s="22" t="s">
        <v>92</v>
      </c>
      <c r="G279" s="22"/>
      <c r="H279" s="22"/>
      <c r="I279" s="22"/>
      <c r="J279" s="22"/>
      <c r="K279" s="22"/>
      <c r="L279" s="22"/>
      <c r="M279" s="22"/>
      <c r="N279" s="22" t="s">
        <v>95</v>
      </c>
      <c r="O279" s="22"/>
      <c r="P279" s="22"/>
      <c r="Q279" s="22"/>
      <c r="R279" s="22"/>
      <c r="S279" s="22"/>
      <c r="T279" s="22" t="s">
        <v>98</v>
      </c>
      <c r="U279" s="22"/>
      <c r="V279" s="22"/>
      <c r="W279" s="22"/>
      <c r="X279" s="22"/>
      <c r="Y279" s="22"/>
      <c r="Z279" s="3"/>
    </row>
  </sheetData>
  <mergeCells count="112">
    <mergeCell ref="X253:X255"/>
    <mergeCell ref="Y253:Y255"/>
    <mergeCell ref="Z253:Z255"/>
    <mergeCell ref="AA253:AA255"/>
    <mergeCell ref="AB253:AB255"/>
    <mergeCell ref="AC253:AC255"/>
    <mergeCell ref="AB218:AB220"/>
    <mergeCell ref="AC218:AC220"/>
    <mergeCell ref="A253:A255"/>
    <mergeCell ref="B253:B255"/>
    <mergeCell ref="C253:E253"/>
    <mergeCell ref="F253:H253"/>
    <mergeCell ref="I253:K253"/>
    <mergeCell ref="L253:N253"/>
    <mergeCell ref="O253:Q253"/>
    <mergeCell ref="U253:W253"/>
    <mergeCell ref="O218:Q218"/>
    <mergeCell ref="U218:W218"/>
    <mergeCell ref="X218:X220"/>
    <mergeCell ref="Y218:Y220"/>
    <mergeCell ref="Z218:Z220"/>
    <mergeCell ref="AA218:AA220"/>
    <mergeCell ref="A218:A220"/>
    <mergeCell ref="B218:B220"/>
    <mergeCell ref="C218:E218"/>
    <mergeCell ref="F218:H218"/>
    <mergeCell ref="I218:K218"/>
    <mergeCell ref="L218:N218"/>
    <mergeCell ref="X183:X185"/>
    <mergeCell ref="Y183:Y185"/>
    <mergeCell ref="Z183:Z185"/>
    <mergeCell ref="AA183:AA185"/>
    <mergeCell ref="AB183:AB185"/>
    <mergeCell ref="AC183:AC185"/>
    <mergeCell ref="AB148:AB150"/>
    <mergeCell ref="AC148:AC150"/>
    <mergeCell ref="A183:A185"/>
    <mergeCell ref="B183:B185"/>
    <mergeCell ref="C183:E183"/>
    <mergeCell ref="F183:H183"/>
    <mergeCell ref="I183:K183"/>
    <mergeCell ref="L183:N183"/>
    <mergeCell ref="O183:Q183"/>
    <mergeCell ref="U183:W183"/>
    <mergeCell ref="O148:Q148"/>
    <mergeCell ref="U148:W148"/>
    <mergeCell ref="X148:X150"/>
    <mergeCell ref="Y148:Y150"/>
    <mergeCell ref="Z148:Z150"/>
    <mergeCell ref="AA148:AA150"/>
    <mergeCell ref="A148:A150"/>
    <mergeCell ref="B148:B150"/>
    <mergeCell ref="C148:E148"/>
    <mergeCell ref="F148:H148"/>
    <mergeCell ref="I148:K148"/>
    <mergeCell ref="L148:N148"/>
    <mergeCell ref="X113:X115"/>
    <mergeCell ref="Y113:Y115"/>
    <mergeCell ref="Z113:Z115"/>
    <mergeCell ref="AA113:AA115"/>
    <mergeCell ref="AB113:AB115"/>
    <mergeCell ref="AC113:AC115"/>
    <mergeCell ref="AB78:AB80"/>
    <mergeCell ref="AC78:AC80"/>
    <mergeCell ref="A113:A115"/>
    <mergeCell ref="B113:B115"/>
    <mergeCell ref="C113:E113"/>
    <mergeCell ref="F113:H113"/>
    <mergeCell ref="I113:K113"/>
    <mergeCell ref="L113:N113"/>
    <mergeCell ref="O113:Q113"/>
    <mergeCell ref="U113:W113"/>
    <mergeCell ref="O78:Q78"/>
    <mergeCell ref="U78:W78"/>
    <mergeCell ref="X78:X80"/>
    <mergeCell ref="Y78:Y80"/>
    <mergeCell ref="Z78:Z80"/>
    <mergeCell ref="AA78:AA80"/>
    <mergeCell ref="A78:A80"/>
    <mergeCell ref="B78:B80"/>
    <mergeCell ref="C78:E78"/>
    <mergeCell ref="F78:H78"/>
    <mergeCell ref="I78:K78"/>
    <mergeCell ref="L78:N78"/>
    <mergeCell ref="X43:X45"/>
    <mergeCell ref="Y43:Y45"/>
    <mergeCell ref="Z43:Z45"/>
    <mergeCell ref="AA43:AA45"/>
    <mergeCell ref="AB43:AB45"/>
    <mergeCell ref="AC43:AC45"/>
    <mergeCell ref="AB8:AB10"/>
    <mergeCell ref="AC8:AC10"/>
    <mergeCell ref="A43:A45"/>
    <mergeCell ref="B43:B45"/>
    <mergeCell ref="C43:E43"/>
    <mergeCell ref="F43:H43"/>
    <mergeCell ref="I43:K43"/>
    <mergeCell ref="L43:N43"/>
    <mergeCell ref="O43:Q43"/>
    <mergeCell ref="U43:W43"/>
    <mergeCell ref="O8:Q8"/>
    <mergeCell ref="U8:W8"/>
    <mergeCell ref="X8:X10"/>
    <mergeCell ref="Y8:Y10"/>
    <mergeCell ref="Z8:Z10"/>
    <mergeCell ref="AA8:AA10"/>
    <mergeCell ref="A8:A10"/>
    <mergeCell ref="B8:B10"/>
    <mergeCell ref="C8:E8"/>
    <mergeCell ref="F8:H8"/>
    <mergeCell ref="I8:K8"/>
    <mergeCell ref="L8:N8"/>
  </mergeCells>
  <pageMargins left="0.70866141732283472" right="0.70866141732283472" top="0.39370078740157483" bottom="0.39370078740157483" header="0.31496062992125984" footer="0.31496062992125984"/>
  <pageSetup paperSize="9" scale="86" fitToHeight="0" orientation="landscape" r:id="rId1"/>
  <rowBreaks count="8" manualBreakCount="8">
    <brk id="34" max="28" man="1"/>
    <brk id="70" max="28" man="1"/>
    <brk id="71" max="16383" man="1"/>
    <brk id="106" max="16383" man="1"/>
    <brk id="141" max="16383" man="1"/>
    <brk id="176" max="16383" man="1"/>
    <brk id="211" max="16383" man="1"/>
    <brk id="246" max="16383" man="1"/>
  </rowBreaks>
  <ignoredErrors>
    <ignoredError sqref="T118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E241"/>
  <sheetViews>
    <sheetView rightToLeft="1" tabSelected="1" topLeftCell="A132" zoomScaleNormal="100" workbookViewId="0">
      <selection activeCell="A112" sqref="A112:AE145"/>
    </sheetView>
  </sheetViews>
  <sheetFormatPr defaultRowHeight="13.8" x14ac:dyDescent="0.25"/>
  <cols>
    <col min="2" max="2" width="5.09765625" customWidth="1"/>
    <col min="3" max="3" width="21.09765625" customWidth="1"/>
    <col min="4" max="4" width="3.5" customWidth="1"/>
    <col min="5" max="5" width="3.3984375" bestFit="1" customWidth="1"/>
    <col min="6" max="6" width="4.19921875" bestFit="1" customWidth="1"/>
    <col min="7" max="7" width="3.5" customWidth="1"/>
    <col min="8" max="8" width="3.8984375" customWidth="1"/>
    <col min="9" max="9" width="4.19921875" bestFit="1" customWidth="1"/>
    <col min="10" max="10" width="3.19921875" customWidth="1"/>
    <col min="11" max="11" width="3.3984375" customWidth="1"/>
    <col min="12" max="12" width="4.19921875" bestFit="1" customWidth="1"/>
    <col min="13" max="13" width="3" customWidth="1"/>
    <col min="14" max="14" width="3.19921875" customWidth="1"/>
    <col min="15" max="15" width="4.59765625" customWidth="1"/>
    <col min="16" max="16" width="3.796875" customWidth="1"/>
    <col min="17" max="17" width="4.19921875" customWidth="1"/>
    <col min="18" max="18" width="4.09765625" customWidth="1"/>
    <col min="19" max="19" width="3.59765625" customWidth="1"/>
    <col min="20" max="20" width="3.5" customWidth="1"/>
    <col min="21" max="21" width="4.59765625" customWidth="1"/>
    <col min="22" max="22" width="4.19921875" customWidth="1"/>
    <col min="23" max="23" width="3.5" customWidth="1"/>
    <col min="24" max="24" width="4.19921875" bestFit="1" customWidth="1"/>
    <col min="25" max="27" width="3" customWidth="1"/>
    <col min="28" max="28" width="4" customWidth="1"/>
    <col min="30" max="30" width="6.69921875" customWidth="1"/>
  </cols>
  <sheetData>
    <row r="2" spans="2:31" ht="15.6" x14ac:dyDescent="0.3">
      <c r="B2" s="6"/>
      <c r="C2" s="15" t="s">
        <v>494</v>
      </c>
      <c r="D2" s="6"/>
      <c r="E2" s="6"/>
      <c r="F2" s="6"/>
      <c r="G2" s="6"/>
      <c r="H2" s="6"/>
      <c r="I2" s="6"/>
      <c r="J2" s="6"/>
      <c r="K2" s="6"/>
      <c r="L2" s="6"/>
      <c r="M2" s="6"/>
      <c r="N2" s="6" t="s">
        <v>467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 t="s">
        <v>456</v>
      </c>
      <c r="AD2" s="6"/>
      <c r="AE2" s="6"/>
    </row>
    <row r="3" spans="2:31" ht="15.6" x14ac:dyDescent="0.3">
      <c r="B3" s="6"/>
      <c r="C3" s="15" t="s">
        <v>81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 t="s">
        <v>100</v>
      </c>
      <c r="AD3" s="5"/>
      <c r="AE3" s="6"/>
    </row>
    <row r="4" spans="2:31" ht="15.6" x14ac:dyDescent="0.3">
      <c r="B4" s="6"/>
      <c r="C4" s="15" t="s">
        <v>459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5" t="s">
        <v>227</v>
      </c>
      <c r="AD4" s="5"/>
      <c r="AE4" s="6"/>
    </row>
    <row r="5" spans="2:31" ht="15.6" x14ac:dyDescent="0.3">
      <c r="B5" s="6"/>
      <c r="C5" s="15" t="s">
        <v>460</v>
      </c>
      <c r="D5" s="6"/>
      <c r="E5" s="6"/>
      <c r="F5" s="6"/>
      <c r="G5" s="6"/>
      <c r="H5" s="6"/>
      <c r="I5" s="6"/>
      <c r="J5" s="6"/>
      <c r="K5" s="6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5" t="s">
        <v>423</v>
      </c>
      <c r="AD5" s="5"/>
      <c r="AE5" s="6"/>
    </row>
    <row r="6" spans="2:31" ht="15.6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5" t="s">
        <v>104</v>
      </c>
      <c r="AD6" s="5"/>
      <c r="AE6" s="6"/>
    </row>
    <row r="7" spans="2:31" ht="15.6" x14ac:dyDescent="0.3">
      <c r="B7" s="6"/>
      <c r="C7" s="6"/>
      <c r="D7" s="5" t="s">
        <v>519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5"/>
      <c r="AD7" s="5"/>
      <c r="AE7" s="6"/>
    </row>
    <row r="8" spans="2:31" ht="15.6" x14ac:dyDescent="0.3">
      <c r="B8" s="57" t="s">
        <v>0</v>
      </c>
      <c r="C8" s="66" t="s">
        <v>469</v>
      </c>
      <c r="D8" s="60" t="s">
        <v>458</v>
      </c>
      <c r="E8" s="61"/>
      <c r="F8" s="62"/>
      <c r="G8" s="60" t="s">
        <v>1</v>
      </c>
      <c r="H8" s="61"/>
      <c r="I8" s="62"/>
      <c r="J8" s="60" t="s">
        <v>2</v>
      </c>
      <c r="K8" s="61"/>
      <c r="L8" s="62"/>
      <c r="M8" s="60" t="s">
        <v>8</v>
      </c>
      <c r="N8" s="61"/>
      <c r="O8" s="62"/>
      <c r="P8" s="60" t="s">
        <v>3</v>
      </c>
      <c r="Q8" s="61"/>
      <c r="R8" s="62"/>
      <c r="S8" s="31"/>
      <c r="T8" s="31" t="s">
        <v>4</v>
      </c>
      <c r="U8" s="31"/>
      <c r="V8" s="60" t="s">
        <v>5</v>
      </c>
      <c r="W8" s="61"/>
      <c r="X8" s="62"/>
      <c r="Y8" s="57" t="s">
        <v>16</v>
      </c>
      <c r="Z8" s="57" t="s">
        <v>17</v>
      </c>
      <c r="AA8" s="57" t="s">
        <v>18</v>
      </c>
      <c r="AB8" s="57" t="s">
        <v>19</v>
      </c>
      <c r="AC8" s="57" t="s">
        <v>20</v>
      </c>
      <c r="AD8" s="57" t="s">
        <v>21</v>
      </c>
    </row>
    <row r="9" spans="2:31" ht="55.2" x14ac:dyDescent="0.25">
      <c r="B9" s="58"/>
      <c r="C9" s="67"/>
      <c r="D9" s="32" t="s">
        <v>6</v>
      </c>
      <c r="E9" s="32" t="s">
        <v>461</v>
      </c>
      <c r="F9" s="32" t="s">
        <v>7</v>
      </c>
      <c r="G9" s="32" t="s">
        <v>6</v>
      </c>
      <c r="H9" s="32" t="s">
        <v>461</v>
      </c>
      <c r="I9" s="32" t="s">
        <v>7</v>
      </c>
      <c r="J9" s="32" t="s">
        <v>6</v>
      </c>
      <c r="K9" s="32" t="s">
        <v>461</v>
      </c>
      <c r="L9" s="32" t="s">
        <v>7</v>
      </c>
      <c r="M9" s="32" t="s">
        <v>6</v>
      </c>
      <c r="N9" s="32" t="s">
        <v>461</v>
      </c>
      <c r="O9" s="32" t="s">
        <v>7</v>
      </c>
      <c r="P9" s="32" t="s">
        <v>6</v>
      </c>
      <c r="Q9" s="32" t="s">
        <v>461</v>
      </c>
      <c r="R9" s="32" t="s">
        <v>7</v>
      </c>
      <c r="S9" s="32" t="s">
        <v>6</v>
      </c>
      <c r="T9" s="32" t="s">
        <v>461</v>
      </c>
      <c r="U9" s="32" t="s">
        <v>7</v>
      </c>
      <c r="V9" s="32" t="s">
        <v>6</v>
      </c>
      <c r="W9" s="32" t="s">
        <v>461</v>
      </c>
      <c r="X9" s="32" t="s">
        <v>7</v>
      </c>
      <c r="Y9" s="58"/>
      <c r="Z9" s="58"/>
      <c r="AA9" s="58"/>
      <c r="AB9" s="58"/>
      <c r="AC9" s="58"/>
      <c r="AD9" s="58"/>
    </row>
    <row r="10" spans="2:31" ht="15.6" x14ac:dyDescent="0.3">
      <c r="B10" s="59"/>
      <c r="C10" s="68"/>
      <c r="D10" s="33">
        <v>50</v>
      </c>
      <c r="E10" s="33">
        <v>50</v>
      </c>
      <c r="F10" s="33">
        <v>100</v>
      </c>
      <c r="G10" s="33">
        <v>50</v>
      </c>
      <c r="H10" s="33">
        <v>50</v>
      </c>
      <c r="I10" s="33">
        <v>100</v>
      </c>
      <c r="J10" s="33">
        <v>50</v>
      </c>
      <c r="K10" s="33">
        <v>50</v>
      </c>
      <c r="L10" s="33">
        <v>100</v>
      </c>
      <c r="M10" s="33">
        <v>50</v>
      </c>
      <c r="N10" s="33">
        <v>50</v>
      </c>
      <c r="O10" s="33">
        <v>100</v>
      </c>
      <c r="P10" s="33">
        <v>50</v>
      </c>
      <c r="Q10" s="33">
        <v>50</v>
      </c>
      <c r="R10" s="33">
        <v>100</v>
      </c>
      <c r="S10" s="33">
        <v>50</v>
      </c>
      <c r="T10" s="33">
        <v>50</v>
      </c>
      <c r="U10" s="33">
        <v>100</v>
      </c>
      <c r="V10" s="33">
        <v>50</v>
      </c>
      <c r="W10" s="33">
        <v>50</v>
      </c>
      <c r="X10" s="33">
        <v>100</v>
      </c>
      <c r="Y10" s="59"/>
      <c r="Z10" s="59"/>
      <c r="AA10" s="59"/>
      <c r="AB10" s="59"/>
      <c r="AC10" s="59"/>
      <c r="AD10" s="59"/>
    </row>
    <row r="11" spans="2:31" ht="15.6" x14ac:dyDescent="0.3">
      <c r="B11" s="26">
        <v>1</v>
      </c>
      <c r="C11" s="27" t="s">
        <v>160</v>
      </c>
      <c r="D11" s="26">
        <v>50</v>
      </c>
      <c r="E11" s="26">
        <v>50</v>
      </c>
      <c r="F11" s="33">
        <f t="shared" ref="F11:F30" si="0">SUM(D11:E11)</f>
        <v>100</v>
      </c>
      <c r="G11" s="26">
        <v>50</v>
      </c>
      <c r="H11" s="26">
        <v>50</v>
      </c>
      <c r="I11" s="33">
        <f t="shared" ref="I11:I30" si="1">SUM(G11:H11)</f>
        <v>100</v>
      </c>
      <c r="J11" s="26">
        <v>40</v>
      </c>
      <c r="K11" s="26">
        <v>50</v>
      </c>
      <c r="L11" s="33">
        <f t="shared" ref="L11:L30" si="2">SUM(J11:K11)</f>
        <v>90</v>
      </c>
      <c r="M11" s="26">
        <v>43</v>
      </c>
      <c r="N11" s="26">
        <v>47</v>
      </c>
      <c r="O11" s="33">
        <f t="shared" ref="O11:O30" si="3">SUM(M11:N11)</f>
        <v>90</v>
      </c>
      <c r="P11" s="26">
        <v>50</v>
      </c>
      <c r="Q11" s="26">
        <v>50</v>
      </c>
      <c r="R11" s="33">
        <f t="shared" ref="R11:R30" si="4">SUM(P11:Q11)</f>
        <v>100</v>
      </c>
      <c r="S11" s="26">
        <v>47</v>
      </c>
      <c r="T11" s="26">
        <v>48</v>
      </c>
      <c r="U11" s="33">
        <f t="shared" ref="U11:U30" si="5">SUM(S11:T11)</f>
        <v>95</v>
      </c>
      <c r="V11" s="26">
        <v>48</v>
      </c>
      <c r="W11" s="26">
        <v>50</v>
      </c>
      <c r="X11" s="33">
        <f t="shared" ref="X11:X30" si="6">SUM(V11:W11)</f>
        <v>98</v>
      </c>
      <c r="Y11" s="26"/>
      <c r="Z11" s="26"/>
      <c r="AA11" s="26"/>
      <c r="AB11" s="33">
        <f t="shared" ref="AB11:AB30" si="7">SUM(X11,U11,R11,O11,L11,I11,F11)</f>
        <v>673</v>
      </c>
      <c r="AC11" s="26" t="s">
        <v>117</v>
      </c>
      <c r="AD11" s="29"/>
    </row>
    <row r="12" spans="2:31" ht="15.6" x14ac:dyDescent="0.3">
      <c r="B12" s="26">
        <v>2</v>
      </c>
      <c r="C12" s="27" t="s">
        <v>161</v>
      </c>
      <c r="D12" s="26">
        <v>30</v>
      </c>
      <c r="E12" s="26">
        <v>25</v>
      </c>
      <c r="F12" s="33">
        <f t="shared" si="0"/>
        <v>55</v>
      </c>
      <c r="G12" s="26">
        <v>29</v>
      </c>
      <c r="H12" s="26">
        <v>30</v>
      </c>
      <c r="I12" s="33">
        <f t="shared" si="1"/>
        <v>59</v>
      </c>
      <c r="J12" s="26">
        <v>28</v>
      </c>
      <c r="K12" s="26">
        <v>25</v>
      </c>
      <c r="L12" s="33">
        <f t="shared" si="2"/>
        <v>53</v>
      </c>
      <c r="M12" s="26">
        <v>34</v>
      </c>
      <c r="N12" s="26">
        <v>28</v>
      </c>
      <c r="O12" s="33">
        <f t="shared" si="3"/>
        <v>62</v>
      </c>
      <c r="P12" s="26">
        <v>29</v>
      </c>
      <c r="Q12" s="26">
        <v>25</v>
      </c>
      <c r="R12" s="33">
        <f t="shared" si="4"/>
        <v>54</v>
      </c>
      <c r="S12" s="26">
        <v>24</v>
      </c>
      <c r="T12" s="26">
        <v>30</v>
      </c>
      <c r="U12" s="33">
        <f t="shared" si="5"/>
        <v>54</v>
      </c>
      <c r="V12" s="26">
        <v>29</v>
      </c>
      <c r="W12" s="26">
        <v>36</v>
      </c>
      <c r="X12" s="33">
        <f t="shared" si="6"/>
        <v>65</v>
      </c>
      <c r="Y12" s="26"/>
      <c r="Z12" s="26"/>
      <c r="AA12" s="26"/>
      <c r="AB12" s="33">
        <f t="shared" si="7"/>
        <v>402</v>
      </c>
      <c r="AC12" s="26" t="s">
        <v>117</v>
      </c>
      <c r="AD12" s="29"/>
    </row>
    <row r="13" spans="2:31" ht="15.6" x14ac:dyDescent="0.3">
      <c r="B13" s="26">
        <v>3</v>
      </c>
      <c r="C13" s="29" t="s">
        <v>162</v>
      </c>
      <c r="D13" s="26">
        <v>25</v>
      </c>
      <c r="E13" s="26">
        <v>27</v>
      </c>
      <c r="F13" s="33">
        <f t="shared" si="0"/>
        <v>52</v>
      </c>
      <c r="G13" s="26">
        <v>22</v>
      </c>
      <c r="H13" s="26">
        <v>29</v>
      </c>
      <c r="I13" s="33">
        <f t="shared" si="1"/>
        <v>51</v>
      </c>
      <c r="J13" s="26">
        <v>27</v>
      </c>
      <c r="K13" s="26">
        <v>27</v>
      </c>
      <c r="L13" s="33">
        <f t="shared" si="2"/>
        <v>54</v>
      </c>
      <c r="M13" s="26">
        <v>27</v>
      </c>
      <c r="N13" s="26">
        <v>30</v>
      </c>
      <c r="O13" s="33">
        <f t="shared" si="3"/>
        <v>57</v>
      </c>
      <c r="P13" s="26">
        <v>29</v>
      </c>
      <c r="Q13" s="26">
        <v>25</v>
      </c>
      <c r="R13" s="33">
        <f t="shared" si="4"/>
        <v>54</v>
      </c>
      <c r="S13" s="26">
        <v>27</v>
      </c>
      <c r="T13" s="26">
        <v>27</v>
      </c>
      <c r="U13" s="33">
        <f t="shared" si="5"/>
        <v>54</v>
      </c>
      <c r="V13" s="26">
        <v>32</v>
      </c>
      <c r="W13" s="26">
        <v>33</v>
      </c>
      <c r="X13" s="33">
        <f t="shared" si="6"/>
        <v>65</v>
      </c>
      <c r="Y13" s="26"/>
      <c r="Z13" s="26"/>
      <c r="AA13" s="26"/>
      <c r="AB13" s="33">
        <f t="shared" si="7"/>
        <v>387</v>
      </c>
      <c r="AC13" s="26" t="s">
        <v>117</v>
      </c>
      <c r="AD13" s="29"/>
    </row>
    <row r="14" spans="2:31" ht="15.6" x14ac:dyDescent="0.3">
      <c r="B14" s="26">
        <v>4</v>
      </c>
      <c r="C14" s="29" t="s">
        <v>522</v>
      </c>
      <c r="D14" s="26">
        <v>25</v>
      </c>
      <c r="E14" s="26">
        <v>35</v>
      </c>
      <c r="F14" s="33">
        <f t="shared" si="0"/>
        <v>60</v>
      </c>
      <c r="G14" s="26">
        <v>36</v>
      </c>
      <c r="H14" s="26">
        <v>31</v>
      </c>
      <c r="I14" s="33">
        <f t="shared" si="1"/>
        <v>67</v>
      </c>
      <c r="J14" s="26">
        <v>28</v>
      </c>
      <c r="K14" s="26">
        <v>25</v>
      </c>
      <c r="L14" s="33">
        <f t="shared" si="2"/>
        <v>53</v>
      </c>
      <c r="M14" s="26">
        <v>47</v>
      </c>
      <c r="N14" s="26">
        <v>45</v>
      </c>
      <c r="O14" s="33">
        <f t="shared" si="3"/>
        <v>92</v>
      </c>
      <c r="P14" s="26">
        <v>32</v>
      </c>
      <c r="Q14" s="26">
        <v>29</v>
      </c>
      <c r="R14" s="33">
        <f t="shared" si="4"/>
        <v>61</v>
      </c>
      <c r="S14" s="26">
        <v>25</v>
      </c>
      <c r="T14" s="26">
        <v>36</v>
      </c>
      <c r="U14" s="33">
        <f t="shared" si="5"/>
        <v>61</v>
      </c>
      <c r="V14" s="26">
        <v>35</v>
      </c>
      <c r="W14" s="26">
        <v>35</v>
      </c>
      <c r="X14" s="33">
        <f t="shared" si="6"/>
        <v>70</v>
      </c>
      <c r="Y14" s="26"/>
      <c r="Z14" s="26"/>
      <c r="AA14" s="26"/>
      <c r="AB14" s="33">
        <f t="shared" si="7"/>
        <v>464</v>
      </c>
      <c r="AC14" s="26" t="s">
        <v>117</v>
      </c>
      <c r="AD14" s="29"/>
    </row>
    <row r="15" spans="2:31" ht="15.6" x14ac:dyDescent="0.3">
      <c r="B15" s="26">
        <v>5</v>
      </c>
      <c r="C15" s="29" t="s">
        <v>523</v>
      </c>
      <c r="D15" s="26">
        <v>25</v>
      </c>
      <c r="E15" s="26">
        <v>27</v>
      </c>
      <c r="F15" s="33">
        <f t="shared" si="0"/>
        <v>52</v>
      </c>
      <c r="G15" s="26">
        <v>27</v>
      </c>
      <c r="H15" s="26">
        <v>31</v>
      </c>
      <c r="I15" s="33">
        <f t="shared" si="1"/>
        <v>58</v>
      </c>
      <c r="J15" s="26">
        <v>26</v>
      </c>
      <c r="K15" s="26">
        <v>27</v>
      </c>
      <c r="L15" s="33">
        <f t="shared" si="2"/>
        <v>53</v>
      </c>
      <c r="M15" s="26">
        <v>37</v>
      </c>
      <c r="N15" s="26">
        <v>25</v>
      </c>
      <c r="O15" s="33">
        <f t="shared" si="3"/>
        <v>62</v>
      </c>
      <c r="P15" s="26">
        <v>25</v>
      </c>
      <c r="Q15" s="26">
        <v>28</v>
      </c>
      <c r="R15" s="33">
        <f t="shared" si="4"/>
        <v>53</v>
      </c>
      <c r="S15" s="26">
        <v>24</v>
      </c>
      <c r="T15" s="26">
        <v>30</v>
      </c>
      <c r="U15" s="33">
        <f t="shared" si="5"/>
        <v>54</v>
      </c>
      <c r="V15" s="26">
        <v>32</v>
      </c>
      <c r="W15" s="26">
        <v>33</v>
      </c>
      <c r="X15" s="33">
        <f t="shared" si="6"/>
        <v>65</v>
      </c>
      <c r="Y15" s="26"/>
      <c r="Z15" s="26"/>
      <c r="AA15" s="26"/>
      <c r="AB15" s="33">
        <f t="shared" si="7"/>
        <v>397</v>
      </c>
      <c r="AC15" s="26" t="s">
        <v>117</v>
      </c>
      <c r="AD15" s="29"/>
    </row>
    <row r="16" spans="2:31" ht="15.6" x14ac:dyDescent="0.3">
      <c r="B16" s="26">
        <v>6</v>
      </c>
      <c r="C16" s="29" t="s">
        <v>163</v>
      </c>
      <c r="D16" s="26">
        <v>25</v>
      </c>
      <c r="E16" s="26">
        <v>25</v>
      </c>
      <c r="F16" s="33">
        <f t="shared" si="0"/>
        <v>50</v>
      </c>
      <c r="G16" s="26">
        <v>25</v>
      </c>
      <c r="H16" s="26">
        <v>27</v>
      </c>
      <c r="I16" s="33">
        <f t="shared" si="1"/>
        <v>52</v>
      </c>
      <c r="J16" s="26">
        <v>26</v>
      </c>
      <c r="K16" s="26">
        <v>25</v>
      </c>
      <c r="L16" s="33">
        <f t="shared" si="2"/>
        <v>51</v>
      </c>
      <c r="M16" s="26">
        <v>33</v>
      </c>
      <c r="N16" s="26">
        <v>30</v>
      </c>
      <c r="O16" s="33">
        <f t="shared" si="3"/>
        <v>63</v>
      </c>
      <c r="P16" s="26">
        <v>25</v>
      </c>
      <c r="Q16" s="26">
        <v>28</v>
      </c>
      <c r="R16" s="33">
        <f t="shared" si="4"/>
        <v>53</v>
      </c>
      <c r="S16" s="26">
        <v>25</v>
      </c>
      <c r="T16" s="26">
        <v>28</v>
      </c>
      <c r="U16" s="33">
        <f t="shared" si="5"/>
        <v>53</v>
      </c>
      <c r="V16" s="26">
        <v>30</v>
      </c>
      <c r="W16" s="26">
        <v>34</v>
      </c>
      <c r="X16" s="33">
        <f t="shared" si="6"/>
        <v>64</v>
      </c>
      <c r="Y16" s="26"/>
      <c r="Z16" s="26"/>
      <c r="AA16" s="26"/>
      <c r="AB16" s="33">
        <f t="shared" si="7"/>
        <v>386</v>
      </c>
      <c r="AC16" s="26" t="s">
        <v>117</v>
      </c>
      <c r="AD16" s="29"/>
    </row>
    <row r="17" spans="2:30" ht="15.6" x14ac:dyDescent="0.3">
      <c r="B17" s="26">
        <v>7</v>
      </c>
      <c r="C17" s="29" t="s">
        <v>164</v>
      </c>
      <c r="D17" s="26">
        <v>25</v>
      </c>
      <c r="E17" s="26">
        <v>30</v>
      </c>
      <c r="F17" s="33">
        <f t="shared" si="0"/>
        <v>55</v>
      </c>
      <c r="G17" s="26">
        <v>25</v>
      </c>
      <c r="H17" s="26">
        <v>35</v>
      </c>
      <c r="I17" s="33">
        <f t="shared" si="1"/>
        <v>60</v>
      </c>
      <c r="J17" s="26">
        <v>28</v>
      </c>
      <c r="K17" s="26">
        <v>26</v>
      </c>
      <c r="L17" s="33">
        <f t="shared" si="2"/>
        <v>54</v>
      </c>
      <c r="M17" s="26">
        <v>31</v>
      </c>
      <c r="N17" s="26">
        <v>25</v>
      </c>
      <c r="O17" s="33">
        <f t="shared" si="3"/>
        <v>56</v>
      </c>
      <c r="P17" s="26">
        <v>25</v>
      </c>
      <c r="Q17" s="26">
        <v>33</v>
      </c>
      <c r="R17" s="33">
        <f t="shared" si="4"/>
        <v>58</v>
      </c>
      <c r="S17" s="26">
        <v>25</v>
      </c>
      <c r="T17" s="26">
        <v>32</v>
      </c>
      <c r="U17" s="33">
        <f t="shared" si="5"/>
        <v>57</v>
      </c>
      <c r="V17" s="26">
        <v>25</v>
      </c>
      <c r="W17" s="26">
        <v>35</v>
      </c>
      <c r="X17" s="33">
        <f t="shared" si="6"/>
        <v>60</v>
      </c>
      <c r="Y17" s="26"/>
      <c r="Z17" s="26"/>
      <c r="AA17" s="26"/>
      <c r="AB17" s="33">
        <f t="shared" si="7"/>
        <v>400</v>
      </c>
      <c r="AC17" s="26" t="s">
        <v>117</v>
      </c>
      <c r="AD17" s="29"/>
    </row>
    <row r="18" spans="2:30" ht="15.6" x14ac:dyDescent="0.3">
      <c r="B18" s="26">
        <v>8</v>
      </c>
      <c r="C18" s="29" t="s">
        <v>165</v>
      </c>
      <c r="D18" s="26">
        <v>25</v>
      </c>
      <c r="E18" s="26">
        <v>26</v>
      </c>
      <c r="F18" s="33">
        <f t="shared" si="0"/>
        <v>51</v>
      </c>
      <c r="G18" s="26">
        <v>25</v>
      </c>
      <c r="H18" s="26">
        <v>26</v>
      </c>
      <c r="I18" s="33">
        <f t="shared" si="1"/>
        <v>51</v>
      </c>
      <c r="J18" s="26">
        <v>25</v>
      </c>
      <c r="K18" s="26">
        <v>37</v>
      </c>
      <c r="L18" s="33">
        <f t="shared" si="2"/>
        <v>62</v>
      </c>
      <c r="M18" s="26">
        <v>30</v>
      </c>
      <c r="N18" s="26">
        <v>25</v>
      </c>
      <c r="O18" s="33">
        <f t="shared" si="3"/>
        <v>55</v>
      </c>
      <c r="P18" s="26">
        <v>25</v>
      </c>
      <c r="Q18" s="26">
        <v>30</v>
      </c>
      <c r="R18" s="33">
        <f t="shared" si="4"/>
        <v>55</v>
      </c>
      <c r="S18" s="26">
        <v>28</v>
      </c>
      <c r="T18" s="26">
        <v>29</v>
      </c>
      <c r="U18" s="33">
        <f t="shared" si="5"/>
        <v>57</v>
      </c>
      <c r="V18" s="26">
        <v>31</v>
      </c>
      <c r="W18" s="26">
        <v>29</v>
      </c>
      <c r="X18" s="33">
        <f t="shared" si="6"/>
        <v>60</v>
      </c>
      <c r="Y18" s="26"/>
      <c r="Z18" s="26"/>
      <c r="AA18" s="26"/>
      <c r="AB18" s="33">
        <f t="shared" si="7"/>
        <v>391</v>
      </c>
      <c r="AC18" s="26" t="s">
        <v>117</v>
      </c>
      <c r="AD18" s="29"/>
    </row>
    <row r="19" spans="2:30" ht="15.6" x14ac:dyDescent="0.3">
      <c r="B19" s="26">
        <v>9</v>
      </c>
      <c r="C19" s="27" t="s">
        <v>166</v>
      </c>
      <c r="D19" s="26">
        <v>28</v>
      </c>
      <c r="E19" s="26">
        <v>25</v>
      </c>
      <c r="F19" s="33">
        <f t="shared" si="0"/>
        <v>53</v>
      </c>
      <c r="G19" s="26">
        <v>26</v>
      </c>
      <c r="H19" s="26">
        <v>31</v>
      </c>
      <c r="I19" s="33">
        <f t="shared" si="1"/>
        <v>57</v>
      </c>
      <c r="J19" s="26">
        <v>27</v>
      </c>
      <c r="K19" s="26">
        <v>27</v>
      </c>
      <c r="L19" s="33">
        <f t="shared" si="2"/>
        <v>54</v>
      </c>
      <c r="M19" s="26">
        <v>30</v>
      </c>
      <c r="N19" s="26">
        <v>35</v>
      </c>
      <c r="O19" s="33">
        <f t="shared" si="3"/>
        <v>65</v>
      </c>
      <c r="P19" s="26">
        <v>28</v>
      </c>
      <c r="Q19" s="26">
        <v>33</v>
      </c>
      <c r="R19" s="33">
        <f t="shared" si="4"/>
        <v>61</v>
      </c>
      <c r="S19" s="26">
        <v>38</v>
      </c>
      <c r="T19" s="26">
        <v>30</v>
      </c>
      <c r="U19" s="33">
        <f t="shared" si="5"/>
        <v>68</v>
      </c>
      <c r="V19" s="26">
        <v>25</v>
      </c>
      <c r="W19" s="26">
        <v>27</v>
      </c>
      <c r="X19" s="33">
        <f t="shared" si="6"/>
        <v>52</v>
      </c>
      <c r="Y19" s="26"/>
      <c r="Z19" s="26"/>
      <c r="AA19" s="26"/>
      <c r="AB19" s="33">
        <f t="shared" si="7"/>
        <v>410</v>
      </c>
      <c r="AC19" s="26" t="s">
        <v>117</v>
      </c>
      <c r="AD19" s="29"/>
    </row>
    <row r="20" spans="2:30" ht="15.6" x14ac:dyDescent="0.3">
      <c r="B20" s="26">
        <v>10</v>
      </c>
      <c r="C20" s="27" t="s">
        <v>167</v>
      </c>
      <c r="D20" s="26">
        <v>25</v>
      </c>
      <c r="E20" s="26">
        <v>25</v>
      </c>
      <c r="F20" s="33">
        <f t="shared" si="0"/>
        <v>50</v>
      </c>
      <c r="G20" s="26">
        <v>25</v>
      </c>
      <c r="H20" s="26">
        <v>28</v>
      </c>
      <c r="I20" s="33">
        <f t="shared" si="1"/>
        <v>53</v>
      </c>
      <c r="J20" s="26">
        <v>25</v>
      </c>
      <c r="K20" s="26">
        <v>25</v>
      </c>
      <c r="L20" s="33">
        <f t="shared" si="2"/>
        <v>50</v>
      </c>
      <c r="M20" s="26">
        <v>30</v>
      </c>
      <c r="N20" s="26">
        <v>27</v>
      </c>
      <c r="O20" s="33">
        <f t="shared" si="3"/>
        <v>57</v>
      </c>
      <c r="P20" s="26">
        <v>25</v>
      </c>
      <c r="Q20" s="26">
        <v>25</v>
      </c>
      <c r="R20" s="33">
        <f t="shared" si="4"/>
        <v>50</v>
      </c>
      <c r="S20" s="26">
        <v>26</v>
      </c>
      <c r="T20" s="26">
        <v>31</v>
      </c>
      <c r="U20" s="33">
        <f t="shared" si="5"/>
        <v>57</v>
      </c>
      <c r="V20" s="26">
        <v>28</v>
      </c>
      <c r="W20" s="26">
        <v>36</v>
      </c>
      <c r="X20" s="33">
        <f t="shared" si="6"/>
        <v>64</v>
      </c>
      <c r="Y20" s="26"/>
      <c r="Z20" s="26"/>
      <c r="AA20" s="26"/>
      <c r="AB20" s="33">
        <f t="shared" si="7"/>
        <v>381</v>
      </c>
      <c r="AC20" s="26" t="s">
        <v>117</v>
      </c>
      <c r="AD20" s="29"/>
    </row>
    <row r="21" spans="2:30" ht="15.6" x14ac:dyDescent="0.3">
      <c r="B21" s="26">
        <v>11</v>
      </c>
      <c r="C21" s="27" t="s">
        <v>168</v>
      </c>
      <c r="D21" s="26">
        <v>25</v>
      </c>
      <c r="E21" s="26">
        <v>25</v>
      </c>
      <c r="F21" s="33">
        <f t="shared" si="0"/>
        <v>50</v>
      </c>
      <c r="G21" s="26">
        <v>23</v>
      </c>
      <c r="H21" s="26">
        <v>29</v>
      </c>
      <c r="I21" s="33">
        <f t="shared" si="1"/>
        <v>52</v>
      </c>
      <c r="J21" s="26">
        <v>25</v>
      </c>
      <c r="K21" s="26">
        <v>28</v>
      </c>
      <c r="L21" s="33">
        <f t="shared" si="2"/>
        <v>53</v>
      </c>
      <c r="M21" s="26">
        <v>28</v>
      </c>
      <c r="N21" s="26">
        <v>25</v>
      </c>
      <c r="O21" s="33">
        <f t="shared" si="3"/>
        <v>53</v>
      </c>
      <c r="P21" s="26">
        <v>28</v>
      </c>
      <c r="Q21" s="26">
        <v>29</v>
      </c>
      <c r="R21" s="33">
        <f t="shared" si="4"/>
        <v>57</v>
      </c>
      <c r="S21" s="26">
        <v>26</v>
      </c>
      <c r="T21" s="26">
        <v>37</v>
      </c>
      <c r="U21" s="33">
        <f t="shared" si="5"/>
        <v>63</v>
      </c>
      <c r="V21" s="26">
        <v>29</v>
      </c>
      <c r="W21" s="26">
        <v>30</v>
      </c>
      <c r="X21" s="33">
        <f t="shared" si="6"/>
        <v>59</v>
      </c>
      <c r="Y21" s="26"/>
      <c r="Z21" s="26"/>
      <c r="AA21" s="26"/>
      <c r="AB21" s="33">
        <f t="shared" si="7"/>
        <v>387</v>
      </c>
      <c r="AC21" s="26" t="s">
        <v>117</v>
      </c>
      <c r="AD21" s="29"/>
    </row>
    <row r="22" spans="2:30" ht="15.6" x14ac:dyDescent="0.3">
      <c r="B22" s="26">
        <v>12</v>
      </c>
      <c r="C22" s="27" t="s">
        <v>169</v>
      </c>
      <c r="D22" s="26">
        <v>28</v>
      </c>
      <c r="E22" s="26">
        <v>27</v>
      </c>
      <c r="F22" s="33">
        <f t="shared" si="0"/>
        <v>55</v>
      </c>
      <c r="G22" s="26">
        <v>27</v>
      </c>
      <c r="H22" s="26">
        <v>26</v>
      </c>
      <c r="I22" s="33">
        <f t="shared" si="1"/>
        <v>53</v>
      </c>
      <c r="J22" s="26">
        <v>27</v>
      </c>
      <c r="K22" s="26">
        <v>28</v>
      </c>
      <c r="L22" s="33">
        <f t="shared" si="2"/>
        <v>55</v>
      </c>
      <c r="M22" s="26">
        <v>32</v>
      </c>
      <c r="N22" s="26">
        <v>28</v>
      </c>
      <c r="O22" s="33">
        <f t="shared" si="3"/>
        <v>60</v>
      </c>
      <c r="P22" s="26">
        <v>25</v>
      </c>
      <c r="Q22" s="26">
        <v>25</v>
      </c>
      <c r="R22" s="33">
        <f t="shared" si="4"/>
        <v>50</v>
      </c>
      <c r="S22" s="26">
        <v>24</v>
      </c>
      <c r="T22" s="26">
        <v>28</v>
      </c>
      <c r="U22" s="33">
        <f t="shared" si="5"/>
        <v>52</v>
      </c>
      <c r="V22" s="26">
        <v>34</v>
      </c>
      <c r="W22" s="26">
        <v>25</v>
      </c>
      <c r="X22" s="33">
        <f t="shared" si="6"/>
        <v>59</v>
      </c>
      <c r="Y22" s="26"/>
      <c r="Z22" s="26"/>
      <c r="AA22" s="26"/>
      <c r="AB22" s="33">
        <f t="shared" si="7"/>
        <v>384</v>
      </c>
      <c r="AC22" s="26" t="s">
        <v>117</v>
      </c>
      <c r="AD22" s="29"/>
    </row>
    <row r="23" spans="2:30" ht="15.6" x14ac:dyDescent="0.3">
      <c r="B23" s="26">
        <v>13</v>
      </c>
      <c r="C23" s="27" t="s">
        <v>170</v>
      </c>
      <c r="D23" s="26">
        <v>37</v>
      </c>
      <c r="E23" s="26">
        <v>29</v>
      </c>
      <c r="F23" s="33">
        <f t="shared" si="0"/>
        <v>66</v>
      </c>
      <c r="G23" s="26">
        <v>32</v>
      </c>
      <c r="H23" s="26">
        <v>30</v>
      </c>
      <c r="I23" s="33">
        <f t="shared" si="1"/>
        <v>62</v>
      </c>
      <c r="J23" s="26">
        <v>30</v>
      </c>
      <c r="K23" s="26">
        <v>30</v>
      </c>
      <c r="L23" s="33">
        <f t="shared" si="2"/>
        <v>60</v>
      </c>
      <c r="M23" s="26">
        <v>43</v>
      </c>
      <c r="N23" s="26">
        <v>33</v>
      </c>
      <c r="O23" s="33">
        <f t="shared" si="3"/>
        <v>76</v>
      </c>
      <c r="P23" s="26">
        <v>33</v>
      </c>
      <c r="Q23" s="26">
        <v>30</v>
      </c>
      <c r="R23" s="33">
        <f t="shared" si="4"/>
        <v>63</v>
      </c>
      <c r="S23" s="26">
        <v>38</v>
      </c>
      <c r="T23" s="26">
        <v>35</v>
      </c>
      <c r="U23" s="33">
        <f t="shared" si="5"/>
        <v>73</v>
      </c>
      <c r="V23" s="26">
        <v>39</v>
      </c>
      <c r="W23" s="26">
        <v>42</v>
      </c>
      <c r="X23" s="33">
        <f t="shared" si="6"/>
        <v>81</v>
      </c>
      <c r="Y23" s="26"/>
      <c r="Z23" s="26"/>
      <c r="AA23" s="26"/>
      <c r="AB23" s="33">
        <f t="shared" si="7"/>
        <v>481</v>
      </c>
      <c r="AC23" s="26" t="s">
        <v>117</v>
      </c>
      <c r="AD23" s="29"/>
    </row>
    <row r="24" spans="2:30" ht="15.6" x14ac:dyDescent="0.3">
      <c r="B24" s="26">
        <v>14</v>
      </c>
      <c r="C24" s="27" t="s">
        <v>171</v>
      </c>
      <c r="D24" s="26">
        <v>25</v>
      </c>
      <c r="E24" s="26">
        <v>27</v>
      </c>
      <c r="F24" s="33">
        <f t="shared" si="0"/>
        <v>52</v>
      </c>
      <c r="G24" s="26">
        <v>27</v>
      </c>
      <c r="H24" s="26">
        <v>26</v>
      </c>
      <c r="I24" s="33">
        <f t="shared" si="1"/>
        <v>53</v>
      </c>
      <c r="J24" s="26">
        <v>28</v>
      </c>
      <c r="K24" s="26">
        <v>28</v>
      </c>
      <c r="L24" s="33">
        <f t="shared" si="2"/>
        <v>56</v>
      </c>
      <c r="M24" s="26">
        <v>32</v>
      </c>
      <c r="N24" s="26">
        <v>26</v>
      </c>
      <c r="O24" s="33">
        <f t="shared" si="3"/>
        <v>58</v>
      </c>
      <c r="P24" s="26">
        <v>25</v>
      </c>
      <c r="Q24" s="26">
        <v>27</v>
      </c>
      <c r="R24" s="33">
        <f t="shared" si="4"/>
        <v>52</v>
      </c>
      <c r="S24" s="26">
        <v>25</v>
      </c>
      <c r="T24" s="26">
        <v>28</v>
      </c>
      <c r="U24" s="33">
        <f t="shared" si="5"/>
        <v>53</v>
      </c>
      <c r="V24" s="26">
        <v>33</v>
      </c>
      <c r="W24" s="26">
        <v>34</v>
      </c>
      <c r="X24" s="33">
        <f t="shared" si="6"/>
        <v>67</v>
      </c>
      <c r="Y24" s="26"/>
      <c r="Z24" s="26"/>
      <c r="AA24" s="26"/>
      <c r="AB24" s="33">
        <f t="shared" si="7"/>
        <v>391</v>
      </c>
      <c r="AC24" s="26" t="s">
        <v>117</v>
      </c>
      <c r="AD24" s="29"/>
    </row>
    <row r="25" spans="2:30" ht="15.6" x14ac:dyDescent="0.3">
      <c r="B25" s="26">
        <v>15</v>
      </c>
      <c r="C25" s="27" t="s">
        <v>172</v>
      </c>
      <c r="D25" s="26">
        <v>25</v>
      </c>
      <c r="E25" s="26">
        <v>27</v>
      </c>
      <c r="F25" s="33">
        <f t="shared" si="0"/>
        <v>52</v>
      </c>
      <c r="G25" s="26">
        <v>27</v>
      </c>
      <c r="H25" s="26">
        <v>26</v>
      </c>
      <c r="I25" s="33">
        <f t="shared" si="1"/>
        <v>53</v>
      </c>
      <c r="J25" s="26">
        <v>25</v>
      </c>
      <c r="K25" s="26">
        <v>27</v>
      </c>
      <c r="L25" s="33">
        <f t="shared" si="2"/>
        <v>52</v>
      </c>
      <c r="M25" s="26">
        <v>27</v>
      </c>
      <c r="N25" s="26">
        <v>30</v>
      </c>
      <c r="O25" s="33">
        <f t="shared" si="3"/>
        <v>57</v>
      </c>
      <c r="P25" s="26">
        <v>27</v>
      </c>
      <c r="Q25" s="26">
        <v>25</v>
      </c>
      <c r="R25" s="33">
        <f t="shared" si="4"/>
        <v>52</v>
      </c>
      <c r="S25" s="26">
        <v>23</v>
      </c>
      <c r="T25" s="26">
        <v>38</v>
      </c>
      <c r="U25" s="33">
        <f t="shared" si="5"/>
        <v>61</v>
      </c>
      <c r="V25" s="26">
        <v>29</v>
      </c>
      <c r="W25" s="26">
        <v>27</v>
      </c>
      <c r="X25" s="33">
        <f t="shared" si="6"/>
        <v>56</v>
      </c>
      <c r="Y25" s="26"/>
      <c r="Z25" s="26"/>
      <c r="AA25" s="26"/>
      <c r="AB25" s="33">
        <f t="shared" si="7"/>
        <v>383</v>
      </c>
      <c r="AC25" s="26" t="s">
        <v>117</v>
      </c>
      <c r="AD25" s="29"/>
    </row>
    <row r="26" spans="2:30" ht="15.6" x14ac:dyDescent="0.3">
      <c r="B26" s="26">
        <v>16</v>
      </c>
      <c r="C26" s="27" t="s">
        <v>173</v>
      </c>
      <c r="D26" s="26">
        <v>49</v>
      </c>
      <c r="E26" s="26">
        <v>32</v>
      </c>
      <c r="F26" s="33">
        <f t="shared" si="0"/>
        <v>81</v>
      </c>
      <c r="G26" s="26">
        <v>31</v>
      </c>
      <c r="H26" s="26">
        <v>31</v>
      </c>
      <c r="I26" s="33">
        <f t="shared" si="1"/>
        <v>62</v>
      </c>
      <c r="J26" s="26">
        <v>33</v>
      </c>
      <c r="K26" s="26">
        <v>37</v>
      </c>
      <c r="L26" s="33">
        <f t="shared" si="2"/>
        <v>70</v>
      </c>
      <c r="M26" s="26">
        <v>45</v>
      </c>
      <c r="N26" s="26">
        <v>35</v>
      </c>
      <c r="O26" s="33">
        <f t="shared" si="3"/>
        <v>80</v>
      </c>
      <c r="P26" s="26">
        <v>30</v>
      </c>
      <c r="Q26" s="26">
        <v>25</v>
      </c>
      <c r="R26" s="33">
        <f t="shared" si="4"/>
        <v>55</v>
      </c>
      <c r="S26" s="26">
        <v>39</v>
      </c>
      <c r="T26" s="26">
        <v>31</v>
      </c>
      <c r="U26" s="33">
        <f t="shared" si="5"/>
        <v>70</v>
      </c>
      <c r="V26" s="26">
        <v>34</v>
      </c>
      <c r="W26" s="26">
        <v>33</v>
      </c>
      <c r="X26" s="33">
        <f t="shared" si="6"/>
        <v>67</v>
      </c>
      <c r="Y26" s="26"/>
      <c r="Z26" s="26"/>
      <c r="AA26" s="26"/>
      <c r="AB26" s="33">
        <f t="shared" si="7"/>
        <v>485</v>
      </c>
      <c r="AC26" s="26" t="s">
        <v>117</v>
      </c>
      <c r="AD26" s="29"/>
    </row>
    <row r="27" spans="2:30" ht="15.6" x14ac:dyDescent="0.3">
      <c r="B27" s="26">
        <v>17</v>
      </c>
      <c r="C27" s="27" t="s">
        <v>524</v>
      </c>
      <c r="D27" s="26">
        <v>25</v>
      </c>
      <c r="E27" s="26">
        <v>25</v>
      </c>
      <c r="F27" s="33">
        <f t="shared" si="0"/>
        <v>50</v>
      </c>
      <c r="G27" s="26">
        <v>26</v>
      </c>
      <c r="H27" s="26">
        <v>27</v>
      </c>
      <c r="I27" s="33">
        <f t="shared" si="1"/>
        <v>53</v>
      </c>
      <c r="J27" s="26">
        <v>25</v>
      </c>
      <c r="K27" s="26">
        <v>28</v>
      </c>
      <c r="L27" s="33">
        <f t="shared" si="2"/>
        <v>53</v>
      </c>
      <c r="M27" s="26">
        <v>31</v>
      </c>
      <c r="N27" s="26">
        <v>28</v>
      </c>
      <c r="O27" s="33">
        <f t="shared" si="3"/>
        <v>59</v>
      </c>
      <c r="P27" s="26">
        <v>25</v>
      </c>
      <c r="Q27" s="26">
        <v>28</v>
      </c>
      <c r="R27" s="33">
        <f t="shared" si="4"/>
        <v>53</v>
      </c>
      <c r="S27" s="26">
        <v>26</v>
      </c>
      <c r="T27" s="26">
        <v>28</v>
      </c>
      <c r="U27" s="33">
        <f t="shared" si="5"/>
        <v>54</v>
      </c>
      <c r="V27" s="26">
        <v>31</v>
      </c>
      <c r="W27" s="26">
        <v>30</v>
      </c>
      <c r="X27" s="33">
        <f t="shared" si="6"/>
        <v>61</v>
      </c>
      <c r="Y27" s="26"/>
      <c r="Z27" s="26"/>
      <c r="AA27" s="26"/>
      <c r="AB27" s="33">
        <f t="shared" si="7"/>
        <v>383</v>
      </c>
      <c r="AC27" s="26" t="s">
        <v>117</v>
      </c>
      <c r="AD27" s="29"/>
    </row>
    <row r="28" spans="2:30" ht="15.6" x14ac:dyDescent="0.3">
      <c r="B28" s="26">
        <v>18</v>
      </c>
      <c r="C28" s="27" t="s">
        <v>174</v>
      </c>
      <c r="D28" s="26">
        <v>25</v>
      </c>
      <c r="E28" s="26">
        <v>27</v>
      </c>
      <c r="F28" s="33">
        <f t="shared" si="0"/>
        <v>52</v>
      </c>
      <c r="G28" s="26">
        <v>26</v>
      </c>
      <c r="H28" s="26">
        <v>25</v>
      </c>
      <c r="I28" s="33">
        <f t="shared" si="1"/>
        <v>51</v>
      </c>
      <c r="J28" s="26">
        <v>26</v>
      </c>
      <c r="K28" s="26">
        <v>29</v>
      </c>
      <c r="L28" s="33">
        <f t="shared" si="2"/>
        <v>55</v>
      </c>
      <c r="M28" s="26">
        <v>29</v>
      </c>
      <c r="N28" s="26">
        <v>28</v>
      </c>
      <c r="O28" s="33">
        <f t="shared" si="3"/>
        <v>57</v>
      </c>
      <c r="P28" s="26">
        <v>29</v>
      </c>
      <c r="Q28" s="26">
        <v>25</v>
      </c>
      <c r="R28" s="33">
        <f t="shared" si="4"/>
        <v>54</v>
      </c>
      <c r="S28" s="26">
        <v>27</v>
      </c>
      <c r="T28" s="26">
        <v>27</v>
      </c>
      <c r="U28" s="33">
        <f t="shared" si="5"/>
        <v>54</v>
      </c>
      <c r="V28" s="26">
        <v>31</v>
      </c>
      <c r="W28" s="26">
        <v>36</v>
      </c>
      <c r="X28" s="33">
        <f t="shared" si="6"/>
        <v>67</v>
      </c>
      <c r="Y28" s="26"/>
      <c r="Z28" s="26"/>
      <c r="AA28" s="26"/>
      <c r="AB28" s="33">
        <f t="shared" si="7"/>
        <v>390</v>
      </c>
      <c r="AC28" s="26" t="s">
        <v>117</v>
      </c>
      <c r="AD28" s="29"/>
    </row>
    <row r="29" spans="2:30" ht="15.6" x14ac:dyDescent="0.3">
      <c r="B29" s="26">
        <v>19</v>
      </c>
      <c r="C29" s="27" t="s">
        <v>175</v>
      </c>
      <c r="D29" s="26">
        <v>22</v>
      </c>
      <c r="E29" s="26">
        <v>33</v>
      </c>
      <c r="F29" s="33">
        <f t="shared" si="0"/>
        <v>55</v>
      </c>
      <c r="G29" s="26">
        <v>25</v>
      </c>
      <c r="H29" s="26">
        <v>28</v>
      </c>
      <c r="I29" s="33">
        <f t="shared" si="1"/>
        <v>53</v>
      </c>
      <c r="J29" s="26">
        <v>28</v>
      </c>
      <c r="K29" s="26">
        <v>29</v>
      </c>
      <c r="L29" s="33">
        <f t="shared" si="2"/>
        <v>57</v>
      </c>
      <c r="M29" s="26">
        <v>33</v>
      </c>
      <c r="N29" s="26">
        <v>30</v>
      </c>
      <c r="O29" s="33">
        <f t="shared" si="3"/>
        <v>63</v>
      </c>
      <c r="P29" s="26">
        <v>33</v>
      </c>
      <c r="Q29" s="26">
        <v>33</v>
      </c>
      <c r="R29" s="33">
        <f t="shared" si="4"/>
        <v>66</v>
      </c>
      <c r="S29" s="26">
        <v>29</v>
      </c>
      <c r="T29" s="26">
        <v>30</v>
      </c>
      <c r="U29" s="33">
        <f t="shared" si="5"/>
        <v>59</v>
      </c>
      <c r="V29" s="26">
        <v>32</v>
      </c>
      <c r="W29" s="26">
        <v>38</v>
      </c>
      <c r="X29" s="33">
        <f t="shared" si="6"/>
        <v>70</v>
      </c>
      <c r="Y29" s="26"/>
      <c r="Z29" s="26"/>
      <c r="AA29" s="26"/>
      <c r="AB29" s="33">
        <f t="shared" si="7"/>
        <v>423</v>
      </c>
      <c r="AC29" s="26" t="s">
        <v>117</v>
      </c>
      <c r="AD29" s="29"/>
    </row>
    <row r="30" spans="2:30" ht="15.6" x14ac:dyDescent="0.3">
      <c r="B30" s="26">
        <v>20</v>
      </c>
      <c r="C30" s="27" t="s">
        <v>176</v>
      </c>
      <c r="D30" s="26">
        <v>25</v>
      </c>
      <c r="E30" s="26">
        <v>28</v>
      </c>
      <c r="F30" s="33">
        <f t="shared" si="0"/>
        <v>53</v>
      </c>
      <c r="G30" s="26">
        <v>25</v>
      </c>
      <c r="H30" s="26">
        <v>34</v>
      </c>
      <c r="I30" s="33">
        <f t="shared" si="1"/>
        <v>59</v>
      </c>
      <c r="J30" s="26">
        <v>28</v>
      </c>
      <c r="K30" s="26">
        <v>27</v>
      </c>
      <c r="L30" s="33">
        <f t="shared" si="2"/>
        <v>55</v>
      </c>
      <c r="M30" s="26">
        <v>28</v>
      </c>
      <c r="N30" s="26">
        <v>25</v>
      </c>
      <c r="O30" s="33">
        <f t="shared" si="3"/>
        <v>53</v>
      </c>
      <c r="P30" s="26">
        <v>31</v>
      </c>
      <c r="Q30" s="26">
        <v>33</v>
      </c>
      <c r="R30" s="33">
        <f t="shared" si="4"/>
        <v>64</v>
      </c>
      <c r="S30" s="26">
        <v>25</v>
      </c>
      <c r="T30" s="26">
        <v>34</v>
      </c>
      <c r="U30" s="33">
        <f t="shared" si="5"/>
        <v>59</v>
      </c>
      <c r="V30" s="26">
        <v>39</v>
      </c>
      <c r="W30" s="26">
        <v>36</v>
      </c>
      <c r="X30" s="33">
        <f t="shared" si="6"/>
        <v>75</v>
      </c>
      <c r="Y30" s="26"/>
      <c r="Z30" s="26"/>
      <c r="AA30" s="26"/>
      <c r="AB30" s="33">
        <f t="shared" si="7"/>
        <v>418</v>
      </c>
      <c r="AC30" s="26" t="s">
        <v>117</v>
      </c>
      <c r="AD30" s="29"/>
    </row>
    <row r="31" spans="2:30" ht="15.6" x14ac:dyDescent="0.3">
      <c r="B31" s="3" t="s">
        <v>218</v>
      </c>
      <c r="C31" s="11"/>
      <c r="D31" s="8"/>
      <c r="E31" s="8"/>
      <c r="F31" s="8"/>
      <c r="G31" s="22"/>
      <c r="H31" s="22" t="s">
        <v>468</v>
      </c>
      <c r="I31" s="22"/>
      <c r="J31" s="22"/>
      <c r="K31" s="22"/>
      <c r="L31" s="22"/>
      <c r="M31" s="22"/>
      <c r="N31" s="22"/>
      <c r="O31" s="22"/>
      <c r="P31" s="22" t="s">
        <v>82</v>
      </c>
      <c r="Q31" s="22"/>
      <c r="R31" s="22"/>
      <c r="S31" s="22"/>
      <c r="T31" s="22"/>
      <c r="U31" s="22"/>
      <c r="V31" s="22" t="s">
        <v>83</v>
      </c>
      <c r="W31" s="22"/>
      <c r="X31" s="22"/>
      <c r="Y31" s="22"/>
      <c r="Z31" s="22"/>
      <c r="AA31" s="9"/>
      <c r="AB31" s="10"/>
      <c r="AC31" s="5" t="s">
        <v>84</v>
      </c>
      <c r="AD31" s="5"/>
    </row>
    <row r="32" spans="2:30" x14ac:dyDescent="0.25">
      <c r="B32" s="3" t="s">
        <v>89</v>
      </c>
      <c r="C32" s="3"/>
      <c r="D32" s="3"/>
      <c r="E32" s="3"/>
      <c r="F32" s="3"/>
      <c r="G32" s="22" t="s">
        <v>90</v>
      </c>
      <c r="H32" s="22"/>
      <c r="I32" s="22"/>
      <c r="J32" s="22"/>
      <c r="K32" s="22"/>
      <c r="L32" s="22"/>
      <c r="M32" s="22"/>
      <c r="N32" s="22"/>
      <c r="O32" s="22" t="s">
        <v>462</v>
      </c>
      <c r="P32" s="22"/>
      <c r="Q32" s="22"/>
      <c r="R32" s="22"/>
      <c r="S32" s="22"/>
      <c r="T32" s="22"/>
      <c r="U32" s="22" t="s">
        <v>463</v>
      </c>
      <c r="V32" s="22"/>
      <c r="W32" s="22"/>
      <c r="X32" s="22"/>
      <c r="Y32" s="22"/>
      <c r="Z32" s="22"/>
      <c r="AA32" s="3"/>
      <c r="AB32" s="3"/>
      <c r="AC32" s="3" t="s">
        <v>85</v>
      </c>
      <c r="AD32" s="3"/>
    </row>
    <row r="33" spans="1:31" x14ac:dyDescent="0.25">
      <c r="B33" s="3" t="s">
        <v>466</v>
      </c>
      <c r="C33" s="3"/>
      <c r="D33" s="3"/>
      <c r="E33" s="3"/>
      <c r="F33" s="3"/>
      <c r="G33" s="22" t="s">
        <v>91</v>
      </c>
      <c r="H33" s="22"/>
      <c r="I33" s="22"/>
      <c r="J33" s="22"/>
      <c r="K33" s="22"/>
      <c r="L33" s="22"/>
      <c r="M33" s="22"/>
      <c r="N33" s="22"/>
      <c r="O33" s="22" t="s">
        <v>94</v>
      </c>
      <c r="P33" s="22"/>
      <c r="Q33" s="22"/>
      <c r="R33" s="22"/>
      <c r="S33" s="22"/>
      <c r="T33" s="22"/>
      <c r="U33" s="22" t="s">
        <v>97</v>
      </c>
      <c r="V33" s="22"/>
      <c r="W33" s="22"/>
      <c r="X33" s="22"/>
      <c r="Y33" s="22"/>
      <c r="Z33" s="22"/>
      <c r="AA33" s="3"/>
      <c r="AB33" s="3"/>
      <c r="AC33" s="3" t="s">
        <v>99</v>
      </c>
      <c r="AD33" s="3"/>
    </row>
    <row r="34" spans="1:31" x14ac:dyDescent="0.25">
      <c r="B34" s="3" t="s">
        <v>89</v>
      </c>
      <c r="C34" s="3"/>
      <c r="D34" s="3"/>
      <c r="E34" s="3"/>
      <c r="F34" s="3"/>
      <c r="G34" s="22" t="s">
        <v>92</v>
      </c>
      <c r="H34" s="22"/>
      <c r="I34" s="22"/>
      <c r="J34" s="22"/>
      <c r="K34" s="22"/>
      <c r="L34" s="22"/>
      <c r="M34" s="22"/>
      <c r="N34" s="22"/>
      <c r="O34" s="22" t="s">
        <v>95</v>
      </c>
      <c r="P34" s="22"/>
      <c r="Q34" s="22"/>
      <c r="R34" s="22"/>
      <c r="S34" s="22"/>
      <c r="T34" s="22"/>
      <c r="U34" s="22" t="s">
        <v>98</v>
      </c>
      <c r="V34" s="22"/>
      <c r="W34" s="22"/>
      <c r="X34" s="22"/>
      <c r="Y34" s="22"/>
      <c r="Z34" s="22"/>
      <c r="AA34" s="3"/>
      <c r="AB34" s="3"/>
      <c r="AC34" s="3"/>
      <c r="AD34" s="3"/>
    </row>
    <row r="39" spans="1:31" ht="15.6" x14ac:dyDescent="0.3">
      <c r="A39" s="1"/>
      <c r="B39" s="1"/>
      <c r="C39" s="15" t="s">
        <v>494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 t="s">
        <v>467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" t="s">
        <v>456</v>
      </c>
      <c r="AD39" s="6"/>
      <c r="AE39" s="6"/>
    </row>
    <row r="40" spans="1:31" ht="15.6" x14ac:dyDescent="0.3">
      <c r="A40" s="1"/>
      <c r="B40" s="1"/>
      <c r="C40" s="15" t="s">
        <v>81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5" t="s">
        <v>100</v>
      </c>
      <c r="AD40" s="5"/>
      <c r="AE40" s="6"/>
    </row>
    <row r="41" spans="1:31" ht="15.6" x14ac:dyDescent="0.3">
      <c r="A41" s="1"/>
      <c r="B41" s="1"/>
      <c r="C41" s="15" t="s">
        <v>459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5" t="s">
        <v>228</v>
      </c>
      <c r="AD41" s="5"/>
      <c r="AE41" s="6"/>
    </row>
    <row r="42" spans="1:31" ht="15.6" x14ac:dyDescent="0.3">
      <c r="A42" s="1"/>
      <c r="B42" s="1"/>
      <c r="C42" s="15" t="s">
        <v>460</v>
      </c>
      <c r="D42" s="6"/>
      <c r="E42" s="6"/>
      <c r="F42" s="6"/>
      <c r="G42" s="6"/>
      <c r="H42" s="6"/>
      <c r="I42" s="6"/>
      <c r="J42" s="6"/>
      <c r="K42" s="6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5" t="s">
        <v>103</v>
      </c>
      <c r="AD42" s="5"/>
      <c r="AE42" s="6"/>
    </row>
    <row r="43" spans="1:31" ht="15.6" x14ac:dyDescent="0.3">
      <c r="A43" s="1"/>
      <c r="B43" s="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5" t="s">
        <v>157</v>
      </c>
      <c r="AD43" s="5"/>
      <c r="AE43" s="6"/>
    </row>
    <row r="44" spans="1:31" ht="15.6" x14ac:dyDescent="0.3">
      <c r="A44" s="1"/>
      <c r="B44" s="1"/>
      <c r="C44" s="6"/>
      <c r="D44" s="5" t="s">
        <v>519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5"/>
      <c r="AD44" s="5"/>
      <c r="AE44" s="6"/>
    </row>
    <row r="45" spans="1:31" ht="15.6" x14ac:dyDescent="0.3">
      <c r="B45" s="57" t="s">
        <v>0</v>
      </c>
      <c r="C45" s="66" t="s">
        <v>469</v>
      </c>
      <c r="D45" s="60" t="s">
        <v>458</v>
      </c>
      <c r="E45" s="61"/>
      <c r="F45" s="62"/>
      <c r="G45" s="60" t="s">
        <v>1</v>
      </c>
      <c r="H45" s="61"/>
      <c r="I45" s="62"/>
      <c r="J45" s="60" t="s">
        <v>2</v>
      </c>
      <c r="K45" s="61"/>
      <c r="L45" s="62"/>
      <c r="M45" s="60" t="s">
        <v>8</v>
      </c>
      <c r="N45" s="61"/>
      <c r="O45" s="62"/>
      <c r="P45" s="60" t="s">
        <v>3</v>
      </c>
      <c r="Q45" s="61"/>
      <c r="R45" s="62"/>
      <c r="S45" s="31"/>
      <c r="T45" s="31" t="s">
        <v>4</v>
      </c>
      <c r="U45" s="31"/>
      <c r="V45" s="60" t="s">
        <v>5</v>
      </c>
      <c r="W45" s="61"/>
      <c r="X45" s="62"/>
      <c r="Y45" s="57" t="s">
        <v>16</v>
      </c>
      <c r="Z45" s="57" t="s">
        <v>17</v>
      </c>
      <c r="AA45" s="57" t="s">
        <v>18</v>
      </c>
      <c r="AB45" s="57" t="s">
        <v>19</v>
      </c>
      <c r="AC45" s="57" t="s">
        <v>20</v>
      </c>
      <c r="AD45" s="57" t="s">
        <v>21</v>
      </c>
    </row>
    <row r="46" spans="1:31" ht="55.2" x14ac:dyDescent="0.25">
      <c r="B46" s="58"/>
      <c r="C46" s="67"/>
      <c r="D46" s="32" t="s">
        <v>6</v>
      </c>
      <c r="E46" s="32" t="s">
        <v>461</v>
      </c>
      <c r="F46" s="32" t="s">
        <v>7</v>
      </c>
      <c r="G46" s="32" t="s">
        <v>6</v>
      </c>
      <c r="H46" s="32" t="s">
        <v>461</v>
      </c>
      <c r="I46" s="32" t="s">
        <v>7</v>
      </c>
      <c r="J46" s="32" t="s">
        <v>6</v>
      </c>
      <c r="K46" s="32" t="s">
        <v>461</v>
      </c>
      <c r="L46" s="32" t="s">
        <v>7</v>
      </c>
      <c r="M46" s="32" t="s">
        <v>6</v>
      </c>
      <c r="N46" s="32" t="s">
        <v>461</v>
      </c>
      <c r="O46" s="32" t="s">
        <v>7</v>
      </c>
      <c r="P46" s="32" t="s">
        <v>6</v>
      </c>
      <c r="Q46" s="32" t="s">
        <v>461</v>
      </c>
      <c r="R46" s="32" t="s">
        <v>7</v>
      </c>
      <c r="S46" s="32" t="s">
        <v>6</v>
      </c>
      <c r="T46" s="32" t="s">
        <v>461</v>
      </c>
      <c r="U46" s="32" t="s">
        <v>7</v>
      </c>
      <c r="V46" s="32" t="s">
        <v>6</v>
      </c>
      <c r="W46" s="32" t="s">
        <v>461</v>
      </c>
      <c r="X46" s="32" t="s">
        <v>7</v>
      </c>
      <c r="Y46" s="58"/>
      <c r="Z46" s="58"/>
      <c r="AA46" s="58"/>
      <c r="AB46" s="58"/>
      <c r="AC46" s="58"/>
      <c r="AD46" s="58"/>
    </row>
    <row r="47" spans="1:31" ht="15.6" x14ac:dyDescent="0.3">
      <c r="B47" s="59"/>
      <c r="C47" s="68"/>
      <c r="D47" s="33">
        <v>50</v>
      </c>
      <c r="E47" s="33">
        <v>50</v>
      </c>
      <c r="F47" s="33">
        <v>100</v>
      </c>
      <c r="G47" s="33">
        <v>50</v>
      </c>
      <c r="H47" s="33">
        <v>50</v>
      </c>
      <c r="I47" s="33">
        <v>100</v>
      </c>
      <c r="J47" s="33">
        <v>50</v>
      </c>
      <c r="K47" s="33">
        <v>50</v>
      </c>
      <c r="L47" s="33">
        <v>100</v>
      </c>
      <c r="M47" s="33">
        <v>50</v>
      </c>
      <c r="N47" s="33">
        <v>50</v>
      </c>
      <c r="O47" s="33">
        <v>100</v>
      </c>
      <c r="P47" s="33">
        <v>50</v>
      </c>
      <c r="Q47" s="33">
        <v>50</v>
      </c>
      <c r="R47" s="33">
        <v>100</v>
      </c>
      <c r="S47" s="33">
        <v>50</v>
      </c>
      <c r="T47" s="33">
        <v>50</v>
      </c>
      <c r="U47" s="33">
        <v>100</v>
      </c>
      <c r="V47" s="33">
        <v>50</v>
      </c>
      <c r="W47" s="33">
        <v>50</v>
      </c>
      <c r="X47" s="33">
        <v>100</v>
      </c>
      <c r="Y47" s="59"/>
      <c r="Z47" s="59"/>
      <c r="AA47" s="59"/>
      <c r="AB47" s="59"/>
      <c r="AC47" s="59"/>
      <c r="AD47" s="59"/>
    </row>
    <row r="48" spans="1:31" ht="15.6" x14ac:dyDescent="0.3">
      <c r="B48" s="26">
        <v>21</v>
      </c>
      <c r="C48" s="29" t="s">
        <v>177</v>
      </c>
      <c r="D48" s="26">
        <v>46</v>
      </c>
      <c r="E48" s="26">
        <v>47</v>
      </c>
      <c r="F48" s="33">
        <f t="shared" ref="F48" si="8">SUM(D48:E48)</f>
        <v>93</v>
      </c>
      <c r="G48" s="26">
        <v>38</v>
      </c>
      <c r="H48" s="26">
        <v>37</v>
      </c>
      <c r="I48" s="33">
        <f t="shared" ref="I48:I66" si="9">SUM(G48:H48)</f>
        <v>75</v>
      </c>
      <c r="J48" s="26">
        <v>41</v>
      </c>
      <c r="K48" s="26">
        <v>32</v>
      </c>
      <c r="L48" s="33">
        <f t="shared" ref="L48:L66" si="10">SUM(J48:K48)</f>
        <v>73</v>
      </c>
      <c r="M48" s="26">
        <v>47</v>
      </c>
      <c r="N48" s="26">
        <v>35</v>
      </c>
      <c r="O48" s="33">
        <f t="shared" ref="O48:O66" si="11">SUM(M48:N48)</f>
        <v>82</v>
      </c>
      <c r="P48" s="26">
        <v>34</v>
      </c>
      <c r="Q48" s="26">
        <v>25</v>
      </c>
      <c r="R48" s="33">
        <f t="shared" ref="R48:R66" si="12">SUM(P48:Q48)</f>
        <v>59</v>
      </c>
      <c r="S48" s="26">
        <v>35</v>
      </c>
      <c r="T48" s="26">
        <v>34</v>
      </c>
      <c r="U48" s="33">
        <f t="shared" ref="U48:U66" si="13">SUM(S48:T48)</f>
        <v>69</v>
      </c>
      <c r="V48" s="26">
        <v>41</v>
      </c>
      <c r="W48" s="26">
        <v>46</v>
      </c>
      <c r="X48" s="33">
        <f t="shared" ref="X48:X66" si="14">SUM(V48:W48)</f>
        <v>87</v>
      </c>
      <c r="Y48" s="26"/>
      <c r="Z48" s="26"/>
      <c r="AA48" s="26"/>
      <c r="AB48" s="33">
        <f t="shared" ref="AB48:AB66" si="15">SUM(X48,U48,R48,O48,L48,I48,F48)</f>
        <v>538</v>
      </c>
      <c r="AC48" s="26" t="s">
        <v>117</v>
      </c>
      <c r="AD48" s="29"/>
    </row>
    <row r="49" spans="2:30" ht="15.6" x14ac:dyDescent="0.3">
      <c r="B49" s="26">
        <v>22</v>
      </c>
      <c r="C49" s="29" t="s">
        <v>178</v>
      </c>
      <c r="D49" s="26">
        <v>25</v>
      </c>
      <c r="E49" s="26">
        <v>25</v>
      </c>
      <c r="F49" s="33">
        <v>50</v>
      </c>
      <c r="G49" s="26">
        <v>27</v>
      </c>
      <c r="H49" s="26">
        <v>29</v>
      </c>
      <c r="I49" s="33">
        <f t="shared" si="9"/>
        <v>56</v>
      </c>
      <c r="J49" s="26">
        <v>25</v>
      </c>
      <c r="K49" s="26">
        <v>28</v>
      </c>
      <c r="L49" s="33">
        <f t="shared" si="10"/>
        <v>53</v>
      </c>
      <c r="M49" s="26">
        <v>33</v>
      </c>
      <c r="N49" s="26">
        <v>28</v>
      </c>
      <c r="O49" s="33">
        <f t="shared" si="11"/>
        <v>61</v>
      </c>
      <c r="P49" s="26">
        <v>28</v>
      </c>
      <c r="Q49" s="26">
        <v>25</v>
      </c>
      <c r="R49" s="33">
        <f t="shared" si="12"/>
        <v>53</v>
      </c>
      <c r="S49" s="26">
        <v>21</v>
      </c>
      <c r="T49" s="26">
        <v>32</v>
      </c>
      <c r="U49" s="33">
        <f t="shared" si="13"/>
        <v>53</v>
      </c>
      <c r="V49" s="26">
        <v>33</v>
      </c>
      <c r="W49" s="26">
        <v>32</v>
      </c>
      <c r="X49" s="33">
        <f t="shared" si="14"/>
        <v>65</v>
      </c>
      <c r="Y49" s="26"/>
      <c r="Z49" s="26"/>
      <c r="AA49" s="26"/>
      <c r="AB49" s="33">
        <f t="shared" si="15"/>
        <v>391</v>
      </c>
      <c r="AC49" s="26" t="s">
        <v>117</v>
      </c>
      <c r="AD49" s="29"/>
    </row>
    <row r="50" spans="2:30" ht="15.6" x14ac:dyDescent="0.3">
      <c r="B50" s="26">
        <v>23</v>
      </c>
      <c r="C50" s="29" t="s">
        <v>179</v>
      </c>
      <c r="D50" s="26">
        <v>29</v>
      </c>
      <c r="E50" s="26">
        <v>25</v>
      </c>
      <c r="F50" s="33">
        <f t="shared" ref="F50:F62" si="16">SUM(D50:E50)</f>
        <v>54</v>
      </c>
      <c r="G50" s="26">
        <v>27</v>
      </c>
      <c r="H50" s="26">
        <v>29</v>
      </c>
      <c r="I50" s="33">
        <f t="shared" si="9"/>
        <v>56</v>
      </c>
      <c r="J50" s="26">
        <v>27</v>
      </c>
      <c r="K50" s="26">
        <v>28</v>
      </c>
      <c r="L50" s="33">
        <f t="shared" si="10"/>
        <v>55</v>
      </c>
      <c r="M50" s="26">
        <v>26</v>
      </c>
      <c r="N50" s="26">
        <v>32</v>
      </c>
      <c r="O50" s="33">
        <f t="shared" si="11"/>
        <v>58</v>
      </c>
      <c r="P50" s="26">
        <v>25</v>
      </c>
      <c r="Q50" s="26">
        <v>29</v>
      </c>
      <c r="R50" s="33">
        <f t="shared" si="12"/>
        <v>54</v>
      </c>
      <c r="S50" s="26">
        <v>25</v>
      </c>
      <c r="T50" s="26">
        <v>31</v>
      </c>
      <c r="U50" s="33">
        <f t="shared" si="13"/>
        <v>56</v>
      </c>
      <c r="V50" s="26">
        <v>35</v>
      </c>
      <c r="W50" s="26">
        <v>35</v>
      </c>
      <c r="X50" s="33">
        <f t="shared" si="14"/>
        <v>70</v>
      </c>
      <c r="Y50" s="26"/>
      <c r="Z50" s="26"/>
      <c r="AA50" s="26"/>
      <c r="AB50" s="33">
        <f t="shared" si="15"/>
        <v>403</v>
      </c>
      <c r="AC50" s="26" t="s">
        <v>117</v>
      </c>
      <c r="AD50" s="29"/>
    </row>
    <row r="51" spans="2:30" ht="15.6" x14ac:dyDescent="0.3">
      <c r="B51" s="26">
        <v>24</v>
      </c>
      <c r="C51" s="29" t="s">
        <v>180</v>
      </c>
      <c r="D51" s="26">
        <v>34</v>
      </c>
      <c r="E51" s="26">
        <v>36</v>
      </c>
      <c r="F51" s="33">
        <f t="shared" si="16"/>
        <v>70</v>
      </c>
      <c r="G51" s="26">
        <v>25</v>
      </c>
      <c r="H51" s="26">
        <v>33</v>
      </c>
      <c r="I51" s="33">
        <f t="shared" si="9"/>
        <v>58</v>
      </c>
      <c r="J51" s="26">
        <v>30</v>
      </c>
      <c r="K51" s="26">
        <v>32</v>
      </c>
      <c r="L51" s="33">
        <f t="shared" si="10"/>
        <v>62</v>
      </c>
      <c r="M51" s="26">
        <v>39</v>
      </c>
      <c r="N51" s="26">
        <v>33</v>
      </c>
      <c r="O51" s="33">
        <f t="shared" si="11"/>
        <v>72</v>
      </c>
      <c r="P51" s="26">
        <v>25</v>
      </c>
      <c r="Q51" s="26">
        <v>28</v>
      </c>
      <c r="R51" s="33">
        <f t="shared" si="12"/>
        <v>53</v>
      </c>
      <c r="S51" s="26">
        <v>28</v>
      </c>
      <c r="T51" s="26">
        <v>34</v>
      </c>
      <c r="U51" s="33">
        <f t="shared" si="13"/>
        <v>62</v>
      </c>
      <c r="V51" s="26">
        <v>33</v>
      </c>
      <c r="W51" s="26">
        <v>36</v>
      </c>
      <c r="X51" s="33">
        <f t="shared" si="14"/>
        <v>69</v>
      </c>
      <c r="Y51" s="26"/>
      <c r="Z51" s="26"/>
      <c r="AA51" s="26"/>
      <c r="AB51" s="33">
        <f t="shared" si="15"/>
        <v>446</v>
      </c>
      <c r="AC51" s="26" t="s">
        <v>117</v>
      </c>
      <c r="AD51" s="29"/>
    </row>
    <row r="52" spans="2:30" ht="15.6" x14ac:dyDescent="0.3">
      <c r="B52" s="26">
        <v>25</v>
      </c>
      <c r="C52" s="29" t="s">
        <v>181</v>
      </c>
      <c r="D52" s="26">
        <v>21</v>
      </c>
      <c r="E52" s="26">
        <v>35</v>
      </c>
      <c r="F52" s="33">
        <f t="shared" si="16"/>
        <v>56</v>
      </c>
      <c r="G52" s="26">
        <v>20</v>
      </c>
      <c r="H52" s="26">
        <v>41</v>
      </c>
      <c r="I52" s="33">
        <f t="shared" si="9"/>
        <v>61</v>
      </c>
      <c r="J52" s="26">
        <v>28</v>
      </c>
      <c r="K52" s="26">
        <v>27</v>
      </c>
      <c r="L52" s="33">
        <f t="shared" si="10"/>
        <v>55</v>
      </c>
      <c r="M52" s="26">
        <v>39</v>
      </c>
      <c r="N52" s="26">
        <v>37</v>
      </c>
      <c r="O52" s="33">
        <f t="shared" si="11"/>
        <v>76</v>
      </c>
      <c r="P52" s="26">
        <v>31</v>
      </c>
      <c r="Q52" s="26">
        <v>30</v>
      </c>
      <c r="R52" s="33">
        <f t="shared" si="12"/>
        <v>61</v>
      </c>
      <c r="S52" s="26">
        <v>24</v>
      </c>
      <c r="T52" s="26">
        <v>35</v>
      </c>
      <c r="U52" s="33">
        <f t="shared" si="13"/>
        <v>59</v>
      </c>
      <c r="V52" s="26">
        <v>32</v>
      </c>
      <c r="W52" s="26">
        <v>32</v>
      </c>
      <c r="X52" s="33">
        <f t="shared" si="14"/>
        <v>64</v>
      </c>
      <c r="Y52" s="26"/>
      <c r="Z52" s="26"/>
      <c r="AA52" s="26"/>
      <c r="AB52" s="33">
        <f t="shared" si="15"/>
        <v>432</v>
      </c>
      <c r="AC52" s="26" t="s">
        <v>117</v>
      </c>
      <c r="AD52" s="29"/>
    </row>
    <row r="53" spans="2:30" ht="15.6" x14ac:dyDescent="0.3">
      <c r="B53" s="26">
        <v>26</v>
      </c>
      <c r="C53" s="29" t="s">
        <v>182</v>
      </c>
      <c r="D53" s="26">
        <v>37</v>
      </c>
      <c r="E53" s="26">
        <v>39</v>
      </c>
      <c r="F53" s="33">
        <f t="shared" si="16"/>
        <v>76</v>
      </c>
      <c r="G53" s="26">
        <v>46</v>
      </c>
      <c r="H53" s="26">
        <v>34</v>
      </c>
      <c r="I53" s="33">
        <f t="shared" si="9"/>
        <v>80</v>
      </c>
      <c r="J53" s="26">
        <v>36</v>
      </c>
      <c r="K53" s="26">
        <v>32</v>
      </c>
      <c r="L53" s="33">
        <f t="shared" si="10"/>
        <v>68</v>
      </c>
      <c r="M53" s="26">
        <v>50</v>
      </c>
      <c r="N53" s="26">
        <v>32</v>
      </c>
      <c r="O53" s="33">
        <f t="shared" si="11"/>
        <v>82</v>
      </c>
      <c r="P53" s="26">
        <v>38</v>
      </c>
      <c r="Q53" s="26">
        <v>23</v>
      </c>
      <c r="R53" s="33">
        <f t="shared" si="12"/>
        <v>61</v>
      </c>
      <c r="S53" s="26">
        <v>38</v>
      </c>
      <c r="T53" s="26">
        <v>37</v>
      </c>
      <c r="U53" s="33">
        <f t="shared" si="13"/>
        <v>75</v>
      </c>
      <c r="V53" s="26">
        <v>39</v>
      </c>
      <c r="W53" s="26">
        <v>38</v>
      </c>
      <c r="X53" s="33">
        <f t="shared" si="14"/>
        <v>77</v>
      </c>
      <c r="Y53" s="26"/>
      <c r="Z53" s="26"/>
      <c r="AA53" s="26"/>
      <c r="AB53" s="33">
        <f t="shared" si="15"/>
        <v>519</v>
      </c>
      <c r="AC53" s="26" t="s">
        <v>117</v>
      </c>
      <c r="AD53" s="29"/>
    </row>
    <row r="54" spans="2:30" ht="15.6" x14ac:dyDescent="0.3">
      <c r="B54" s="26">
        <v>27</v>
      </c>
      <c r="C54" s="29" t="s">
        <v>183</v>
      </c>
      <c r="D54" s="26">
        <v>50</v>
      </c>
      <c r="E54" s="26">
        <v>45</v>
      </c>
      <c r="F54" s="33">
        <f t="shared" si="16"/>
        <v>95</v>
      </c>
      <c r="G54" s="26">
        <v>50</v>
      </c>
      <c r="H54" s="26">
        <v>50</v>
      </c>
      <c r="I54" s="33">
        <f t="shared" si="9"/>
        <v>100</v>
      </c>
      <c r="J54" s="26">
        <v>47</v>
      </c>
      <c r="K54" s="26">
        <v>44</v>
      </c>
      <c r="L54" s="33">
        <f t="shared" si="10"/>
        <v>91</v>
      </c>
      <c r="M54" s="26">
        <v>49</v>
      </c>
      <c r="N54" s="26">
        <v>50</v>
      </c>
      <c r="O54" s="33">
        <f t="shared" si="11"/>
        <v>99</v>
      </c>
      <c r="P54" s="26">
        <v>39</v>
      </c>
      <c r="Q54" s="26">
        <v>41</v>
      </c>
      <c r="R54" s="33">
        <f t="shared" si="12"/>
        <v>80</v>
      </c>
      <c r="S54" s="26">
        <v>46</v>
      </c>
      <c r="T54" s="26">
        <v>42</v>
      </c>
      <c r="U54" s="33">
        <f t="shared" si="13"/>
        <v>88</v>
      </c>
      <c r="V54" s="26">
        <v>46</v>
      </c>
      <c r="W54" s="26">
        <v>50</v>
      </c>
      <c r="X54" s="33">
        <f t="shared" si="14"/>
        <v>96</v>
      </c>
      <c r="Y54" s="26"/>
      <c r="Z54" s="26"/>
      <c r="AA54" s="26"/>
      <c r="AB54" s="33">
        <f t="shared" si="15"/>
        <v>649</v>
      </c>
      <c r="AC54" s="26" t="s">
        <v>117</v>
      </c>
      <c r="AD54" s="29"/>
    </row>
    <row r="55" spans="2:30" ht="15.6" x14ac:dyDescent="0.3">
      <c r="B55" s="26">
        <v>28</v>
      </c>
      <c r="C55" s="29" t="s">
        <v>184</v>
      </c>
      <c r="D55" s="26">
        <v>25</v>
      </c>
      <c r="E55" s="26">
        <v>25</v>
      </c>
      <c r="F55" s="33">
        <f t="shared" si="16"/>
        <v>50</v>
      </c>
      <c r="G55" s="26">
        <v>25</v>
      </c>
      <c r="H55" s="26">
        <v>28</v>
      </c>
      <c r="I55" s="33">
        <f t="shared" si="9"/>
        <v>53</v>
      </c>
      <c r="J55" s="26">
        <v>31</v>
      </c>
      <c r="K55" s="26">
        <v>28</v>
      </c>
      <c r="L55" s="33">
        <f t="shared" si="10"/>
        <v>59</v>
      </c>
      <c r="M55" s="26">
        <v>32</v>
      </c>
      <c r="N55" s="26">
        <v>30</v>
      </c>
      <c r="O55" s="33">
        <f t="shared" si="11"/>
        <v>62</v>
      </c>
      <c r="P55" s="26">
        <v>29</v>
      </c>
      <c r="Q55" s="26">
        <v>25</v>
      </c>
      <c r="R55" s="33">
        <f t="shared" si="12"/>
        <v>54</v>
      </c>
      <c r="S55" s="26">
        <v>25</v>
      </c>
      <c r="T55" s="26">
        <v>30</v>
      </c>
      <c r="U55" s="33">
        <f t="shared" si="13"/>
        <v>55</v>
      </c>
      <c r="V55" s="26">
        <v>25</v>
      </c>
      <c r="W55" s="26">
        <v>31</v>
      </c>
      <c r="X55" s="33">
        <f t="shared" si="14"/>
        <v>56</v>
      </c>
      <c r="Y55" s="26"/>
      <c r="Z55" s="26"/>
      <c r="AA55" s="26"/>
      <c r="AB55" s="33">
        <f t="shared" si="15"/>
        <v>389</v>
      </c>
      <c r="AC55" s="26" t="s">
        <v>117</v>
      </c>
      <c r="AD55" s="29"/>
    </row>
    <row r="56" spans="2:30" ht="15.6" x14ac:dyDescent="0.3">
      <c r="B56" s="26">
        <v>29</v>
      </c>
      <c r="C56" s="29" t="s">
        <v>185</v>
      </c>
      <c r="D56" s="26">
        <v>28</v>
      </c>
      <c r="E56" s="26">
        <v>29</v>
      </c>
      <c r="F56" s="33">
        <f t="shared" si="16"/>
        <v>57</v>
      </c>
      <c r="G56" s="26">
        <v>27</v>
      </c>
      <c r="H56" s="26">
        <v>28</v>
      </c>
      <c r="I56" s="33">
        <f t="shared" si="9"/>
        <v>55</v>
      </c>
      <c r="J56" s="26">
        <v>27</v>
      </c>
      <c r="K56" s="26">
        <v>30</v>
      </c>
      <c r="L56" s="33">
        <f t="shared" si="10"/>
        <v>57</v>
      </c>
      <c r="M56" s="26">
        <v>28</v>
      </c>
      <c r="N56" s="26">
        <v>29</v>
      </c>
      <c r="O56" s="33">
        <f t="shared" si="11"/>
        <v>57</v>
      </c>
      <c r="P56" s="26">
        <v>25</v>
      </c>
      <c r="Q56" s="26">
        <v>26</v>
      </c>
      <c r="R56" s="33">
        <f t="shared" si="12"/>
        <v>51</v>
      </c>
      <c r="S56" s="26">
        <v>28</v>
      </c>
      <c r="T56" s="26">
        <v>30</v>
      </c>
      <c r="U56" s="33">
        <f t="shared" si="13"/>
        <v>58</v>
      </c>
      <c r="V56" s="26">
        <v>25</v>
      </c>
      <c r="W56" s="26">
        <v>30</v>
      </c>
      <c r="X56" s="33">
        <f t="shared" si="14"/>
        <v>55</v>
      </c>
      <c r="Y56" s="26"/>
      <c r="Z56" s="26"/>
      <c r="AA56" s="26"/>
      <c r="AB56" s="33">
        <f t="shared" si="15"/>
        <v>390</v>
      </c>
      <c r="AC56" s="26" t="s">
        <v>117</v>
      </c>
      <c r="AD56" s="29"/>
    </row>
    <row r="57" spans="2:30" ht="15.6" x14ac:dyDescent="0.3">
      <c r="B57" s="26">
        <v>30</v>
      </c>
      <c r="C57" s="29" t="s">
        <v>186</v>
      </c>
      <c r="D57" s="26">
        <v>41</v>
      </c>
      <c r="E57" s="26">
        <v>38</v>
      </c>
      <c r="F57" s="33">
        <f t="shared" si="16"/>
        <v>79</v>
      </c>
      <c r="G57" s="26">
        <v>34</v>
      </c>
      <c r="H57" s="26">
        <v>41</v>
      </c>
      <c r="I57" s="33">
        <f t="shared" si="9"/>
        <v>75</v>
      </c>
      <c r="J57" s="26">
        <v>32</v>
      </c>
      <c r="K57" s="26">
        <v>28</v>
      </c>
      <c r="L57" s="33">
        <f t="shared" si="10"/>
        <v>60</v>
      </c>
      <c r="M57" s="26">
        <v>47</v>
      </c>
      <c r="N57" s="26">
        <v>50</v>
      </c>
      <c r="O57" s="33">
        <f t="shared" si="11"/>
        <v>97</v>
      </c>
      <c r="P57" s="26">
        <v>36</v>
      </c>
      <c r="Q57" s="26">
        <v>29</v>
      </c>
      <c r="R57" s="33">
        <f t="shared" si="12"/>
        <v>65</v>
      </c>
      <c r="S57" s="26">
        <v>31</v>
      </c>
      <c r="T57" s="26">
        <v>38</v>
      </c>
      <c r="U57" s="33">
        <f t="shared" si="13"/>
        <v>69</v>
      </c>
      <c r="V57" s="26">
        <v>46</v>
      </c>
      <c r="W57" s="26">
        <v>36</v>
      </c>
      <c r="X57" s="33">
        <f t="shared" si="14"/>
        <v>82</v>
      </c>
      <c r="Y57" s="26"/>
      <c r="Z57" s="26"/>
      <c r="AA57" s="26"/>
      <c r="AB57" s="33">
        <f t="shared" si="15"/>
        <v>527</v>
      </c>
      <c r="AC57" s="26" t="s">
        <v>117</v>
      </c>
      <c r="AD57" s="29"/>
    </row>
    <row r="58" spans="2:30" ht="15.6" x14ac:dyDescent="0.3">
      <c r="B58" s="26">
        <v>31</v>
      </c>
      <c r="C58" s="29" t="s">
        <v>187</v>
      </c>
      <c r="D58" s="26">
        <v>27</v>
      </c>
      <c r="E58" s="26">
        <v>43</v>
      </c>
      <c r="F58" s="33">
        <f t="shared" si="16"/>
        <v>70</v>
      </c>
      <c r="G58" s="26">
        <v>26</v>
      </c>
      <c r="H58" s="26">
        <v>33</v>
      </c>
      <c r="I58" s="33">
        <f t="shared" si="9"/>
        <v>59</v>
      </c>
      <c r="J58" s="26">
        <v>29</v>
      </c>
      <c r="K58" s="26">
        <v>26</v>
      </c>
      <c r="L58" s="33">
        <f t="shared" si="10"/>
        <v>55</v>
      </c>
      <c r="M58" s="26">
        <v>34</v>
      </c>
      <c r="N58" s="26">
        <v>32</v>
      </c>
      <c r="O58" s="33">
        <f t="shared" si="11"/>
        <v>66</v>
      </c>
      <c r="P58" s="26">
        <v>25</v>
      </c>
      <c r="Q58" s="26">
        <v>26</v>
      </c>
      <c r="R58" s="33">
        <f t="shared" si="12"/>
        <v>51</v>
      </c>
      <c r="S58" s="26">
        <v>30</v>
      </c>
      <c r="T58" s="26">
        <v>38</v>
      </c>
      <c r="U58" s="33">
        <f t="shared" si="13"/>
        <v>68</v>
      </c>
      <c r="V58" s="26">
        <v>25</v>
      </c>
      <c r="W58" s="26">
        <v>38</v>
      </c>
      <c r="X58" s="33">
        <f t="shared" si="14"/>
        <v>63</v>
      </c>
      <c r="Y58" s="26"/>
      <c r="Z58" s="26"/>
      <c r="AA58" s="26"/>
      <c r="AB58" s="33">
        <f t="shared" si="15"/>
        <v>432</v>
      </c>
      <c r="AC58" s="26" t="s">
        <v>117</v>
      </c>
      <c r="AD58" s="29"/>
    </row>
    <row r="59" spans="2:30" ht="15.6" x14ac:dyDescent="0.3">
      <c r="B59" s="26">
        <v>32</v>
      </c>
      <c r="C59" s="29" t="s">
        <v>525</v>
      </c>
      <c r="D59" s="26">
        <v>25</v>
      </c>
      <c r="E59" s="26">
        <v>26</v>
      </c>
      <c r="F59" s="33">
        <f t="shared" si="16"/>
        <v>51</v>
      </c>
      <c r="G59" s="26">
        <v>25</v>
      </c>
      <c r="H59" s="26">
        <v>27</v>
      </c>
      <c r="I59" s="33">
        <f t="shared" si="9"/>
        <v>52</v>
      </c>
      <c r="J59" s="26">
        <v>26</v>
      </c>
      <c r="K59" s="26">
        <v>27</v>
      </c>
      <c r="L59" s="33">
        <f t="shared" si="10"/>
        <v>53</v>
      </c>
      <c r="M59" s="26">
        <v>31</v>
      </c>
      <c r="N59" s="26">
        <v>27</v>
      </c>
      <c r="O59" s="33">
        <f t="shared" si="11"/>
        <v>58</v>
      </c>
      <c r="P59" s="26">
        <v>25</v>
      </c>
      <c r="Q59" s="26">
        <v>26</v>
      </c>
      <c r="R59" s="33">
        <f t="shared" si="12"/>
        <v>51</v>
      </c>
      <c r="S59" s="26">
        <v>26</v>
      </c>
      <c r="T59" s="26">
        <v>28</v>
      </c>
      <c r="U59" s="33">
        <f t="shared" si="13"/>
        <v>54</v>
      </c>
      <c r="V59" s="26">
        <v>25</v>
      </c>
      <c r="W59" s="26">
        <v>31</v>
      </c>
      <c r="X59" s="33">
        <f t="shared" si="14"/>
        <v>56</v>
      </c>
      <c r="Y59" s="26"/>
      <c r="Z59" s="26"/>
      <c r="AA59" s="26"/>
      <c r="AB59" s="33">
        <f t="shared" si="15"/>
        <v>375</v>
      </c>
      <c r="AC59" s="26" t="s">
        <v>117</v>
      </c>
      <c r="AD59" s="29"/>
    </row>
    <row r="60" spans="2:30" ht="15.6" x14ac:dyDescent="0.3">
      <c r="B60" s="26">
        <v>33</v>
      </c>
      <c r="C60" s="29" t="s">
        <v>188</v>
      </c>
      <c r="D60" s="26">
        <v>29</v>
      </c>
      <c r="E60" s="26">
        <v>25</v>
      </c>
      <c r="F60" s="33">
        <f t="shared" si="16"/>
        <v>54</v>
      </c>
      <c r="G60" s="26">
        <v>20</v>
      </c>
      <c r="H60" s="26">
        <v>30</v>
      </c>
      <c r="I60" s="33">
        <f t="shared" si="9"/>
        <v>50</v>
      </c>
      <c r="J60" s="26">
        <v>28</v>
      </c>
      <c r="K60" s="26">
        <v>29</v>
      </c>
      <c r="L60" s="33">
        <f t="shared" si="10"/>
        <v>57</v>
      </c>
      <c r="M60" s="26">
        <v>33</v>
      </c>
      <c r="N60" s="26">
        <v>25</v>
      </c>
      <c r="O60" s="33">
        <f t="shared" si="11"/>
        <v>58</v>
      </c>
      <c r="P60" s="26">
        <v>32</v>
      </c>
      <c r="Q60" s="26">
        <v>20</v>
      </c>
      <c r="R60" s="33">
        <f t="shared" si="12"/>
        <v>52</v>
      </c>
      <c r="S60" s="26">
        <v>29</v>
      </c>
      <c r="T60" s="26">
        <v>25</v>
      </c>
      <c r="U60" s="33">
        <f t="shared" si="13"/>
        <v>54</v>
      </c>
      <c r="V60" s="26">
        <v>24</v>
      </c>
      <c r="W60" s="26">
        <v>31</v>
      </c>
      <c r="X60" s="33">
        <f t="shared" si="14"/>
        <v>55</v>
      </c>
      <c r="Y60" s="26"/>
      <c r="Z60" s="26"/>
      <c r="AA60" s="26"/>
      <c r="AB60" s="33">
        <f t="shared" si="15"/>
        <v>380</v>
      </c>
      <c r="AC60" s="26" t="s">
        <v>117</v>
      </c>
      <c r="AD60" s="29"/>
    </row>
    <row r="61" spans="2:30" ht="15.6" x14ac:dyDescent="0.3">
      <c r="B61" s="26">
        <v>34</v>
      </c>
      <c r="C61" s="29" t="s">
        <v>526</v>
      </c>
      <c r="D61" s="26">
        <v>25</v>
      </c>
      <c r="E61" s="26">
        <v>29</v>
      </c>
      <c r="F61" s="33">
        <f t="shared" si="16"/>
        <v>54</v>
      </c>
      <c r="G61" s="26">
        <v>25</v>
      </c>
      <c r="H61" s="26">
        <v>30</v>
      </c>
      <c r="I61" s="33">
        <f t="shared" si="9"/>
        <v>55</v>
      </c>
      <c r="J61" s="26">
        <v>27</v>
      </c>
      <c r="K61" s="26">
        <v>27</v>
      </c>
      <c r="L61" s="33">
        <f t="shared" si="10"/>
        <v>54</v>
      </c>
      <c r="M61" s="26">
        <v>32</v>
      </c>
      <c r="N61" s="26">
        <v>27</v>
      </c>
      <c r="O61" s="33">
        <f t="shared" si="11"/>
        <v>59</v>
      </c>
      <c r="P61" s="26">
        <v>28</v>
      </c>
      <c r="Q61" s="26">
        <v>27</v>
      </c>
      <c r="R61" s="33">
        <f t="shared" si="12"/>
        <v>55</v>
      </c>
      <c r="S61" s="26">
        <v>29</v>
      </c>
      <c r="T61" s="26">
        <v>34</v>
      </c>
      <c r="U61" s="33">
        <f t="shared" si="13"/>
        <v>63</v>
      </c>
      <c r="V61" s="26">
        <v>39</v>
      </c>
      <c r="W61" s="26">
        <v>36</v>
      </c>
      <c r="X61" s="33">
        <f t="shared" si="14"/>
        <v>75</v>
      </c>
      <c r="Y61" s="26"/>
      <c r="Z61" s="26"/>
      <c r="AA61" s="26"/>
      <c r="AB61" s="33">
        <f t="shared" si="15"/>
        <v>415</v>
      </c>
      <c r="AC61" s="26" t="s">
        <v>117</v>
      </c>
      <c r="AD61" s="29"/>
    </row>
    <row r="62" spans="2:30" ht="15.6" x14ac:dyDescent="0.3">
      <c r="B62" s="26">
        <v>35</v>
      </c>
      <c r="C62" s="29" t="s">
        <v>189</v>
      </c>
      <c r="D62" s="26">
        <v>25</v>
      </c>
      <c r="E62" s="26">
        <v>25</v>
      </c>
      <c r="F62" s="33">
        <f t="shared" si="16"/>
        <v>50</v>
      </c>
      <c r="G62" s="26">
        <v>27</v>
      </c>
      <c r="H62" s="26">
        <v>29</v>
      </c>
      <c r="I62" s="33">
        <f t="shared" si="9"/>
        <v>56</v>
      </c>
      <c r="J62" s="26">
        <v>26</v>
      </c>
      <c r="K62" s="26">
        <v>27</v>
      </c>
      <c r="L62" s="33">
        <f t="shared" si="10"/>
        <v>53</v>
      </c>
      <c r="M62" s="26">
        <v>26</v>
      </c>
      <c r="N62" s="26">
        <v>29</v>
      </c>
      <c r="O62" s="33">
        <f t="shared" si="11"/>
        <v>55</v>
      </c>
      <c r="P62" s="26">
        <v>27</v>
      </c>
      <c r="Q62" s="26">
        <v>29</v>
      </c>
      <c r="R62" s="33">
        <f t="shared" si="12"/>
        <v>56</v>
      </c>
      <c r="S62" s="26">
        <v>26</v>
      </c>
      <c r="T62" s="26">
        <v>34</v>
      </c>
      <c r="U62" s="33">
        <f t="shared" si="13"/>
        <v>60</v>
      </c>
      <c r="V62" s="26">
        <v>27</v>
      </c>
      <c r="W62" s="26">
        <v>30</v>
      </c>
      <c r="X62" s="33">
        <f t="shared" si="14"/>
        <v>57</v>
      </c>
      <c r="Y62" s="26"/>
      <c r="Z62" s="26"/>
      <c r="AA62" s="26"/>
      <c r="AB62" s="33">
        <f t="shared" si="15"/>
        <v>387</v>
      </c>
      <c r="AC62" s="26" t="s">
        <v>117</v>
      </c>
      <c r="AD62" s="29"/>
    </row>
    <row r="63" spans="2:30" ht="15.6" x14ac:dyDescent="0.3">
      <c r="B63" s="26">
        <v>35</v>
      </c>
      <c r="C63" s="29" t="s">
        <v>190</v>
      </c>
      <c r="D63" s="26">
        <v>28</v>
      </c>
      <c r="E63" s="26">
        <v>26</v>
      </c>
      <c r="F63" s="33">
        <f>SUM(D63:E63)</f>
        <v>54</v>
      </c>
      <c r="G63" s="26">
        <v>28</v>
      </c>
      <c r="H63" s="26">
        <v>29</v>
      </c>
      <c r="I63" s="33">
        <f t="shared" si="9"/>
        <v>57</v>
      </c>
      <c r="J63" s="26">
        <v>26</v>
      </c>
      <c r="K63" s="26">
        <v>28</v>
      </c>
      <c r="L63" s="33">
        <f t="shared" si="10"/>
        <v>54</v>
      </c>
      <c r="M63" s="26">
        <v>28</v>
      </c>
      <c r="N63" s="26">
        <v>29</v>
      </c>
      <c r="O63" s="33">
        <f t="shared" si="11"/>
        <v>57</v>
      </c>
      <c r="P63" s="26">
        <v>27</v>
      </c>
      <c r="Q63" s="26">
        <v>29</v>
      </c>
      <c r="R63" s="33">
        <f t="shared" si="12"/>
        <v>56</v>
      </c>
      <c r="S63" s="26">
        <v>29</v>
      </c>
      <c r="T63" s="26">
        <v>30</v>
      </c>
      <c r="U63" s="33">
        <f t="shared" si="13"/>
        <v>59</v>
      </c>
      <c r="V63" s="26">
        <v>29</v>
      </c>
      <c r="W63" s="26">
        <v>35</v>
      </c>
      <c r="X63" s="33">
        <f t="shared" si="14"/>
        <v>64</v>
      </c>
      <c r="Y63" s="26"/>
      <c r="Z63" s="26"/>
      <c r="AA63" s="26"/>
      <c r="AB63" s="33">
        <f t="shared" si="15"/>
        <v>401</v>
      </c>
      <c r="AC63" s="26" t="s">
        <v>117</v>
      </c>
      <c r="AD63" s="29"/>
    </row>
    <row r="64" spans="2:30" ht="15.6" x14ac:dyDescent="0.3">
      <c r="B64" s="26">
        <v>37</v>
      </c>
      <c r="C64" s="29" t="s">
        <v>527</v>
      </c>
      <c r="D64" s="26">
        <v>25</v>
      </c>
      <c r="E64" s="26">
        <v>27</v>
      </c>
      <c r="F64" s="33">
        <f>SUM(D64:E64)</f>
        <v>52</v>
      </c>
      <c r="G64" s="26">
        <v>29</v>
      </c>
      <c r="H64" s="26">
        <v>35</v>
      </c>
      <c r="I64" s="33">
        <f t="shared" si="9"/>
        <v>64</v>
      </c>
      <c r="J64" s="26">
        <v>27</v>
      </c>
      <c r="K64" s="26">
        <v>30</v>
      </c>
      <c r="L64" s="33">
        <f t="shared" si="10"/>
        <v>57</v>
      </c>
      <c r="M64" s="26">
        <v>28</v>
      </c>
      <c r="N64" s="26">
        <v>31</v>
      </c>
      <c r="O64" s="33">
        <f t="shared" si="11"/>
        <v>59</v>
      </c>
      <c r="P64" s="26">
        <v>25</v>
      </c>
      <c r="Q64" s="26">
        <v>29</v>
      </c>
      <c r="R64" s="33">
        <f t="shared" si="12"/>
        <v>54</v>
      </c>
      <c r="S64" s="26">
        <v>31</v>
      </c>
      <c r="T64" s="26">
        <v>30</v>
      </c>
      <c r="U64" s="33">
        <f t="shared" si="13"/>
        <v>61</v>
      </c>
      <c r="V64" s="26">
        <v>34</v>
      </c>
      <c r="W64" s="26">
        <v>32</v>
      </c>
      <c r="X64" s="33">
        <f t="shared" si="14"/>
        <v>66</v>
      </c>
      <c r="Y64" s="26"/>
      <c r="Z64" s="26"/>
      <c r="AA64" s="26"/>
      <c r="AB64" s="33">
        <f t="shared" si="15"/>
        <v>413</v>
      </c>
      <c r="AC64" s="26" t="s">
        <v>117</v>
      </c>
      <c r="AD64" s="29"/>
    </row>
    <row r="65" spans="2:31" ht="15.6" x14ac:dyDescent="0.3">
      <c r="B65" s="26">
        <v>38</v>
      </c>
      <c r="C65" s="27" t="s">
        <v>191</v>
      </c>
      <c r="D65" s="26">
        <v>27</v>
      </c>
      <c r="E65" s="26">
        <v>25</v>
      </c>
      <c r="F65" s="33">
        <f>SUM(D65:E65)</f>
        <v>52</v>
      </c>
      <c r="G65" s="26">
        <v>21</v>
      </c>
      <c r="H65" s="26">
        <v>32</v>
      </c>
      <c r="I65" s="33">
        <f t="shared" si="9"/>
        <v>53</v>
      </c>
      <c r="J65" s="26">
        <v>27</v>
      </c>
      <c r="K65" s="26">
        <v>29</v>
      </c>
      <c r="L65" s="33">
        <f t="shared" si="10"/>
        <v>56</v>
      </c>
      <c r="M65" s="26">
        <v>30</v>
      </c>
      <c r="N65" s="26">
        <v>30</v>
      </c>
      <c r="O65" s="33">
        <f t="shared" si="11"/>
        <v>60</v>
      </c>
      <c r="P65" s="26">
        <v>28</v>
      </c>
      <c r="Q65" s="26">
        <v>29</v>
      </c>
      <c r="R65" s="33">
        <f t="shared" si="12"/>
        <v>57</v>
      </c>
      <c r="S65" s="26">
        <v>30</v>
      </c>
      <c r="T65" s="26">
        <v>30</v>
      </c>
      <c r="U65" s="33">
        <f t="shared" si="13"/>
        <v>60</v>
      </c>
      <c r="V65" s="26">
        <v>31</v>
      </c>
      <c r="W65" s="26">
        <v>31</v>
      </c>
      <c r="X65" s="33">
        <f t="shared" si="14"/>
        <v>62</v>
      </c>
      <c r="Y65" s="26"/>
      <c r="Z65" s="26"/>
      <c r="AA65" s="26"/>
      <c r="AB65" s="33">
        <f t="shared" si="15"/>
        <v>400</v>
      </c>
      <c r="AC65" s="26" t="s">
        <v>117</v>
      </c>
      <c r="AD65" s="29"/>
    </row>
    <row r="66" spans="2:31" ht="15.6" x14ac:dyDescent="0.3">
      <c r="B66" s="26">
        <v>39</v>
      </c>
      <c r="C66" s="27" t="s">
        <v>192</v>
      </c>
      <c r="D66" s="26">
        <v>36</v>
      </c>
      <c r="E66" s="26">
        <v>46</v>
      </c>
      <c r="F66" s="33">
        <f>SUM(D66:E66)</f>
        <v>82</v>
      </c>
      <c r="G66" s="26">
        <v>36</v>
      </c>
      <c r="H66" s="26">
        <v>41</v>
      </c>
      <c r="I66" s="33">
        <f t="shared" si="9"/>
        <v>77</v>
      </c>
      <c r="J66" s="26">
        <v>30</v>
      </c>
      <c r="K66" s="26">
        <v>40</v>
      </c>
      <c r="L66" s="33">
        <f t="shared" si="10"/>
        <v>70</v>
      </c>
      <c r="M66" s="26">
        <v>40</v>
      </c>
      <c r="N66" s="26">
        <v>48</v>
      </c>
      <c r="O66" s="33">
        <f t="shared" si="11"/>
        <v>88</v>
      </c>
      <c r="P66" s="26">
        <v>32</v>
      </c>
      <c r="Q66" s="26">
        <v>27</v>
      </c>
      <c r="R66" s="33">
        <f t="shared" si="12"/>
        <v>59</v>
      </c>
      <c r="S66" s="26">
        <v>43</v>
      </c>
      <c r="T66" s="26">
        <v>39</v>
      </c>
      <c r="U66" s="33">
        <f t="shared" si="13"/>
        <v>82</v>
      </c>
      <c r="V66" s="26">
        <v>35</v>
      </c>
      <c r="W66" s="26">
        <v>34</v>
      </c>
      <c r="X66" s="33">
        <f t="shared" si="14"/>
        <v>69</v>
      </c>
      <c r="Y66" s="26"/>
      <c r="Z66" s="26"/>
      <c r="AA66" s="26"/>
      <c r="AB66" s="33">
        <f t="shared" si="15"/>
        <v>527</v>
      </c>
      <c r="AC66" s="26" t="s">
        <v>117</v>
      </c>
      <c r="AD66" s="29"/>
    </row>
    <row r="67" spans="2:31" ht="15.6" x14ac:dyDescent="0.3">
      <c r="B67" s="26"/>
      <c r="C67" s="27"/>
      <c r="D67" s="26"/>
      <c r="E67" s="26"/>
      <c r="F67" s="33"/>
      <c r="G67" s="26"/>
      <c r="H67" s="26"/>
      <c r="I67" s="33"/>
      <c r="J67" s="26"/>
      <c r="K67" s="26"/>
      <c r="L67" s="33"/>
      <c r="M67" s="26"/>
      <c r="N67" s="26"/>
      <c r="O67" s="33"/>
      <c r="P67" s="26"/>
      <c r="Q67" s="26"/>
      <c r="R67" s="33"/>
      <c r="S67" s="26"/>
      <c r="T67" s="26"/>
      <c r="U67" s="33"/>
      <c r="V67" s="26"/>
      <c r="W67" s="26"/>
      <c r="X67" s="33"/>
      <c r="Y67" s="26"/>
      <c r="Z67" s="26"/>
      <c r="AA67" s="26"/>
      <c r="AB67" s="33"/>
      <c r="AC67" s="26"/>
      <c r="AD67" s="29"/>
    </row>
    <row r="68" spans="2:31" ht="15.6" x14ac:dyDescent="0.3">
      <c r="B68" s="3" t="s">
        <v>218</v>
      </c>
      <c r="C68" s="11"/>
      <c r="D68" s="8"/>
      <c r="E68" s="8"/>
      <c r="F68" s="8"/>
      <c r="G68" s="22"/>
      <c r="H68" s="22" t="s">
        <v>468</v>
      </c>
      <c r="I68" s="22"/>
      <c r="J68" s="22"/>
      <c r="K68" s="22"/>
      <c r="L68" s="22"/>
      <c r="M68" s="22"/>
      <c r="N68" s="22"/>
      <c r="O68" s="22"/>
      <c r="P68" s="22" t="s">
        <v>82</v>
      </c>
      <c r="Q68" s="22"/>
      <c r="R68" s="22"/>
      <c r="S68" s="22"/>
      <c r="T68" s="22"/>
      <c r="U68" s="22"/>
      <c r="V68" s="22" t="s">
        <v>83</v>
      </c>
      <c r="W68" s="22"/>
      <c r="X68" s="22"/>
      <c r="Y68" s="22"/>
      <c r="Z68" s="22"/>
      <c r="AA68" s="9"/>
      <c r="AB68" s="10"/>
      <c r="AC68" s="5" t="s">
        <v>84</v>
      </c>
      <c r="AD68" s="5"/>
    </row>
    <row r="69" spans="2:31" x14ac:dyDescent="0.25">
      <c r="B69" s="3" t="s">
        <v>89</v>
      </c>
      <c r="C69" s="3"/>
      <c r="D69" s="3"/>
      <c r="E69" s="3"/>
      <c r="F69" s="3"/>
      <c r="G69" s="22" t="s">
        <v>90</v>
      </c>
      <c r="H69" s="22"/>
      <c r="I69" s="22"/>
      <c r="J69" s="22"/>
      <c r="K69" s="22"/>
      <c r="L69" s="22"/>
      <c r="M69" s="22"/>
      <c r="N69" s="22"/>
      <c r="O69" s="22" t="s">
        <v>462</v>
      </c>
      <c r="P69" s="22"/>
      <c r="Q69" s="22"/>
      <c r="R69" s="22"/>
      <c r="S69" s="22"/>
      <c r="T69" s="22"/>
      <c r="U69" s="22" t="s">
        <v>463</v>
      </c>
      <c r="V69" s="22"/>
      <c r="W69" s="22"/>
      <c r="X69" s="22"/>
      <c r="Y69" s="22"/>
      <c r="Z69" s="22"/>
      <c r="AA69" s="3"/>
      <c r="AB69" s="3"/>
      <c r="AC69" s="3" t="s">
        <v>85</v>
      </c>
      <c r="AD69" s="3"/>
    </row>
    <row r="70" spans="2:31" x14ac:dyDescent="0.25">
      <c r="B70" s="3" t="s">
        <v>466</v>
      </c>
      <c r="C70" s="3"/>
      <c r="D70" s="3"/>
      <c r="E70" s="3"/>
      <c r="F70" s="3"/>
      <c r="G70" s="22" t="s">
        <v>91</v>
      </c>
      <c r="H70" s="22"/>
      <c r="I70" s="22"/>
      <c r="J70" s="22"/>
      <c r="K70" s="22"/>
      <c r="L70" s="22"/>
      <c r="M70" s="22"/>
      <c r="N70" s="22"/>
      <c r="O70" s="22" t="s">
        <v>94</v>
      </c>
      <c r="P70" s="22"/>
      <c r="Q70" s="22"/>
      <c r="R70" s="22"/>
      <c r="S70" s="22"/>
      <c r="T70" s="22"/>
      <c r="U70" s="22" t="s">
        <v>97</v>
      </c>
      <c r="V70" s="22"/>
      <c r="W70" s="22"/>
      <c r="X70" s="22"/>
      <c r="Y70" s="22"/>
      <c r="Z70" s="22"/>
      <c r="AA70" s="3"/>
      <c r="AB70" s="3"/>
      <c r="AC70" s="3" t="s">
        <v>99</v>
      </c>
      <c r="AD70" s="3"/>
    </row>
    <row r="71" spans="2:31" x14ac:dyDescent="0.25">
      <c r="B71" s="3" t="s">
        <v>89</v>
      </c>
      <c r="C71" s="3"/>
      <c r="D71" s="3"/>
      <c r="E71" s="3"/>
      <c r="F71" s="3"/>
      <c r="G71" s="22" t="s">
        <v>92</v>
      </c>
      <c r="H71" s="22"/>
      <c r="I71" s="22"/>
      <c r="J71" s="22"/>
      <c r="K71" s="22"/>
      <c r="L71" s="22"/>
      <c r="M71" s="22"/>
      <c r="N71" s="22"/>
      <c r="O71" s="22" t="s">
        <v>95</v>
      </c>
      <c r="P71" s="22"/>
      <c r="Q71" s="22"/>
      <c r="R71" s="22"/>
      <c r="S71" s="22"/>
      <c r="T71" s="22"/>
      <c r="U71" s="22" t="s">
        <v>98</v>
      </c>
      <c r="V71" s="22"/>
      <c r="W71" s="22"/>
      <c r="X71" s="22"/>
      <c r="Y71" s="22"/>
      <c r="Z71" s="22"/>
      <c r="AA71" s="3"/>
    </row>
    <row r="76" spans="2:31" ht="15.6" x14ac:dyDescent="0.3">
      <c r="B76" s="5"/>
      <c r="C76" s="15" t="s">
        <v>494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 t="s">
        <v>467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 t="s">
        <v>456</v>
      </c>
      <c r="AD76" s="5"/>
      <c r="AE76" s="5"/>
    </row>
    <row r="77" spans="2:31" ht="15.6" x14ac:dyDescent="0.3">
      <c r="B77" s="5"/>
      <c r="C77" s="15" t="s">
        <v>81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 t="s">
        <v>100</v>
      </c>
      <c r="AD77" s="5"/>
      <c r="AE77" s="5"/>
    </row>
    <row r="78" spans="2:31" ht="15.6" x14ac:dyDescent="0.3">
      <c r="B78" s="5"/>
      <c r="C78" s="15" t="s">
        <v>459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 t="s">
        <v>227</v>
      </c>
      <c r="AD78" s="5"/>
      <c r="AE78" s="5"/>
    </row>
    <row r="79" spans="2:31" ht="15.6" x14ac:dyDescent="0.3">
      <c r="B79" s="5"/>
      <c r="C79" s="15" t="s">
        <v>460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 t="s">
        <v>420</v>
      </c>
      <c r="AD79" s="5"/>
      <c r="AE79" s="5"/>
    </row>
    <row r="80" spans="2:31" ht="15.6" x14ac:dyDescent="0.3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 t="s">
        <v>422</v>
      </c>
      <c r="AD80" s="5"/>
      <c r="AE80" s="5"/>
    </row>
    <row r="81" spans="2:31" ht="15.6" x14ac:dyDescent="0.3">
      <c r="B81" s="5"/>
      <c r="C81" s="5"/>
      <c r="D81" s="5" t="s">
        <v>519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2:31" ht="15.6" x14ac:dyDescent="0.3">
      <c r="B82" s="57" t="s">
        <v>0</v>
      </c>
      <c r="C82" s="66" t="s">
        <v>469</v>
      </c>
      <c r="D82" s="60" t="s">
        <v>458</v>
      </c>
      <c r="E82" s="61"/>
      <c r="F82" s="62"/>
      <c r="G82" s="60" t="s">
        <v>1</v>
      </c>
      <c r="H82" s="61"/>
      <c r="I82" s="62"/>
      <c r="J82" s="60" t="s">
        <v>2</v>
      </c>
      <c r="K82" s="61"/>
      <c r="L82" s="62"/>
      <c r="M82" s="60" t="s">
        <v>8</v>
      </c>
      <c r="N82" s="61"/>
      <c r="O82" s="62"/>
      <c r="P82" s="60" t="s">
        <v>3</v>
      </c>
      <c r="Q82" s="61"/>
      <c r="R82" s="62"/>
      <c r="S82" s="31"/>
      <c r="T82" s="31" t="s">
        <v>4</v>
      </c>
      <c r="U82" s="31"/>
      <c r="V82" s="60" t="s">
        <v>5</v>
      </c>
      <c r="W82" s="61"/>
      <c r="X82" s="62"/>
      <c r="Y82" s="57" t="s">
        <v>16</v>
      </c>
      <c r="Z82" s="57" t="s">
        <v>17</v>
      </c>
      <c r="AA82" s="57" t="s">
        <v>18</v>
      </c>
      <c r="AB82" s="57" t="s">
        <v>19</v>
      </c>
      <c r="AC82" s="57" t="s">
        <v>20</v>
      </c>
      <c r="AD82" s="57" t="s">
        <v>21</v>
      </c>
      <c r="AE82" s="5"/>
    </row>
    <row r="83" spans="2:31" ht="55.2" x14ac:dyDescent="0.3">
      <c r="B83" s="58"/>
      <c r="C83" s="67"/>
      <c r="D83" s="32" t="s">
        <v>6</v>
      </c>
      <c r="E83" s="32" t="s">
        <v>461</v>
      </c>
      <c r="F83" s="32" t="s">
        <v>7</v>
      </c>
      <c r="G83" s="32" t="s">
        <v>6</v>
      </c>
      <c r="H83" s="32" t="s">
        <v>461</v>
      </c>
      <c r="I83" s="32" t="s">
        <v>7</v>
      </c>
      <c r="J83" s="32" t="s">
        <v>6</v>
      </c>
      <c r="K83" s="32" t="s">
        <v>461</v>
      </c>
      <c r="L83" s="32" t="s">
        <v>7</v>
      </c>
      <c r="M83" s="32" t="s">
        <v>6</v>
      </c>
      <c r="N83" s="32" t="s">
        <v>461</v>
      </c>
      <c r="O83" s="32" t="s">
        <v>7</v>
      </c>
      <c r="P83" s="32" t="s">
        <v>6</v>
      </c>
      <c r="Q83" s="32" t="s">
        <v>461</v>
      </c>
      <c r="R83" s="32" t="s">
        <v>7</v>
      </c>
      <c r="S83" s="32" t="s">
        <v>6</v>
      </c>
      <c r="T83" s="32" t="s">
        <v>461</v>
      </c>
      <c r="U83" s="32" t="s">
        <v>7</v>
      </c>
      <c r="V83" s="32" t="s">
        <v>6</v>
      </c>
      <c r="W83" s="32" t="s">
        <v>461</v>
      </c>
      <c r="X83" s="32" t="s">
        <v>7</v>
      </c>
      <c r="Y83" s="58"/>
      <c r="Z83" s="58"/>
      <c r="AA83" s="58"/>
      <c r="AB83" s="58"/>
      <c r="AC83" s="58"/>
      <c r="AD83" s="58"/>
      <c r="AE83" s="5"/>
    </row>
    <row r="84" spans="2:31" ht="15.6" x14ac:dyDescent="0.3">
      <c r="B84" s="59"/>
      <c r="C84" s="68"/>
      <c r="D84" s="33">
        <v>50</v>
      </c>
      <c r="E84" s="33">
        <v>50</v>
      </c>
      <c r="F84" s="33">
        <v>100</v>
      </c>
      <c r="G84" s="33">
        <v>50</v>
      </c>
      <c r="H84" s="33">
        <v>50</v>
      </c>
      <c r="I84" s="33">
        <v>100</v>
      </c>
      <c r="J84" s="33">
        <v>50</v>
      </c>
      <c r="K84" s="33">
        <v>50</v>
      </c>
      <c r="L84" s="33">
        <v>100</v>
      </c>
      <c r="M84" s="33">
        <v>50</v>
      </c>
      <c r="N84" s="33">
        <v>50</v>
      </c>
      <c r="O84" s="33">
        <v>100</v>
      </c>
      <c r="P84" s="33">
        <v>50</v>
      </c>
      <c r="Q84" s="33">
        <v>50</v>
      </c>
      <c r="R84" s="33">
        <v>100</v>
      </c>
      <c r="S84" s="33">
        <v>50</v>
      </c>
      <c r="T84" s="33">
        <v>50</v>
      </c>
      <c r="U84" s="33">
        <v>100</v>
      </c>
      <c r="V84" s="33">
        <v>50</v>
      </c>
      <c r="W84" s="33">
        <v>50</v>
      </c>
      <c r="X84" s="33">
        <v>100</v>
      </c>
      <c r="Y84" s="59"/>
      <c r="Z84" s="59"/>
      <c r="AA84" s="59"/>
      <c r="AB84" s="59"/>
      <c r="AC84" s="59"/>
      <c r="AD84" s="59"/>
      <c r="AE84" s="5"/>
    </row>
    <row r="85" spans="2:31" ht="15.6" x14ac:dyDescent="0.3">
      <c r="B85" s="26">
        <v>1</v>
      </c>
      <c r="C85" s="27" t="s">
        <v>193</v>
      </c>
      <c r="D85" s="26">
        <v>50</v>
      </c>
      <c r="E85" s="26">
        <v>49</v>
      </c>
      <c r="F85" s="33">
        <f t="shared" ref="F85:F104" si="17">SUM(D85:E85)</f>
        <v>99</v>
      </c>
      <c r="G85" s="26">
        <v>49</v>
      </c>
      <c r="H85" s="26">
        <v>50</v>
      </c>
      <c r="I85" s="33">
        <f t="shared" ref="I85:I104" si="18">SUM(G85:H85)</f>
        <v>99</v>
      </c>
      <c r="J85" s="26">
        <v>50</v>
      </c>
      <c r="K85" s="26">
        <v>50</v>
      </c>
      <c r="L85" s="33">
        <f t="shared" ref="L85:L104" si="19">SUM(J85:K85)</f>
        <v>100</v>
      </c>
      <c r="M85" s="26">
        <v>50</v>
      </c>
      <c r="N85" s="26">
        <v>50</v>
      </c>
      <c r="O85" s="33">
        <f t="shared" ref="O85:O104" si="20">SUM(M85:N85)</f>
        <v>100</v>
      </c>
      <c r="P85" s="26">
        <v>50</v>
      </c>
      <c r="Q85" s="26">
        <v>49</v>
      </c>
      <c r="R85" s="33">
        <f t="shared" ref="R85:R104" si="21">SUM(P85:Q85)</f>
        <v>99</v>
      </c>
      <c r="S85" s="26">
        <v>50</v>
      </c>
      <c r="T85" s="26">
        <v>50</v>
      </c>
      <c r="U85" s="33">
        <f t="shared" ref="U85:U104" si="22">SUM(S85:T85)</f>
        <v>100</v>
      </c>
      <c r="V85" s="26">
        <v>50</v>
      </c>
      <c r="W85" s="26">
        <v>50</v>
      </c>
      <c r="X85" s="33">
        <f t="shared" ref="X85:X104" si="23">SUM(V85:W85)</f>
        <v>100</v>
      </c>
      <c r="Y85" s="26"/>
      <c r="Z85" s="26"/>
      <c r="AA85" s="26"/>
      <c r="AB85" s="33">
        <f t="shared" ref="AB85:AB104" si="24">SUM(X85,U85,R85,O85,L85,I85,F85)</f>
        <v>697</v>
      </c>
      <c r="AC85" s="26" t="s">
        <v>117</v>
      </c>
      <c r="AD85" s="29"/>
      <c r="AE85" s="5"/>
    </row>
    <row r="86" spans="2:31" ht="15.6" x14ac:dyDescent="0.3">
      <c r="B86" s="26">
        <v>2</v>
      </c>
      <c r="C86" s="27" t="s">
        <v>194</v>
      </c>
      <c r="D86" s="26">
        <v>50</v>
      </c>
      <c r="E86" s="26">
        <v>48</v>
      </c>
      <c r="F86" s="33">
        <f t="shared" si="17"/>
        <v>98</v>
      </c>
      <c r="G86" s="26">
        <v>48</v>
      </c>
      <c r="H86" s="26">
        <v>46</v>
      </c>
      <c r="I86" s="33">
        <f t="shared" si="18"/>
        <v>94</v>
      </c>
      <c r="J86" s="26">
        <v>49</v>
      </c>
      <c r="K86" s="26">
        <v>50</v>
      </c>
      <c r="L86" s="33">
        <f t="shared" si="19"/>
        <v>99</v>
      </c>
      <c r="M86" s="26">
        <v>50</v>
      </c>
      <c r="N86" s="26">
        <v>45</v>
      </c>
      <c r="O86" s="33">
        <f t="shared" si="20"/>
        <v>95</v>
      </c>
      <c r="P86" s="26">
        <v>43</v>
      </c>
      <c r="Q86" s="26">
        <v>43</v>
      </c>
      <c r="R86" s="33">
        <f t="shared" si="21"/>
        <v>86</v>
      </c>
      <c r="S86" s="26">
        <v>48</v>
      </c>
      <c r="T86" s="26">
        <v>49</v>
      </c>
      <c r="U86" s="33">
        <f t="shared" si="22"/>
        <v>97</v>
      </c>
      <c r="V86" s="26">
        <v>42</v>
      </c>
      <c r="W86" s="26">
        <v>46</v>
      </c>
      <c r="X86" s="33">
        <f t="shared" si="23"/>
        <v>88</v>
      </c>
      <c r="Y86" s="26"/>
      <c r="Z86" s="26"/>
      <c r="AA86" s="26"/>
      <c r="AB86" s="33">
        <f t="shared" si="24"/>
        <v>657</v>
      </c>
      <c r="AC86" s="26" t="s">
        <v>117</v>
      </c>
      <c r="AD86" s="29"/>
      <c r="AE86" s="5"/>
    </row>
    <row r="87" spans="2:31" ht="15.6" x14ac:dyDescent="0.3">
      <c r="B87" s="26">
        <v>3</v>
      </c>
      <c r="C87" s="27" t="s">
        <v>451</v>
      </c>
      <c r="D87" s="26">
        <v>50</v>
      </c>
      <c r="E87" s="26">
        <v>48</v>
      </c>
      <c r="F87" s="33">
        <f t="shared" si="17"/>
        <v>98</v>
      </c>
      <c r="G87" s="26">
        <v>45</v>
      </c>
      <c r="H87" s="26">
        <v>47</v>
      </c>
      <c r="I87" s="33">
        <f t="shared" si="18"/>
        <v>92</v>
      </c>
      <c r="J87" s="26">
        <v>47</v>
      </c>
      <c r="K87" s="26">
        <v>49</v>
      </c>
      <c r="L87" s="33">
        <f t="shared" si="19"/>
        <v>96</v>
      </c>
      <c r="M87" s="26">
        <v>50</v>
      </c>
      <c r="N87" s="26">
        <v>50</v>
      </c>
      <c r="O87" s="33">
        <f t="shared" si="20"/>
        <v>100</v>
      </c>
      <c r="P87" s="26">
        <v>46</v>
      </c>
      <c r="Q87" s="26">
        <v>38</v>
      </c>
      <c r="R87" s="33">
        <f t="shared" si="21"/>
        <v>84</v>
      </c>
      <c r="S87" s="26">
        <v>48</v>
      </c>
      <c r="T87" s="26">
        <v>48</v>
      </c>
      <c r="U87" s="33">
        <f t="shared" si="22"/>
        <v>96</v>
      </c>
      <c r="V87" s="26">
        <v>44</v>
      </c>
      <c r="W87" s="26">
        <v>47</v>
      </c>
      <c r="X87" s="33">
        <f t="shared" si="23"/>
        <v>91</v>
      </c>
      <c r="Y87" s="26"/>
      <c r="Z87" s="26"/>
      <c r="AA87" s="26"/>
      <c r="AB87" s="33">
        <f t="shared" si="24"/>
        <v>657</v>
      </c>
      <c r="AC87" s="26" t="s">
        <v>117</v>
      </c>
      <c r="AD87" s="29"/>
      <c r="AE87" s="5"/>
    </row>
    <row r="88" spans="2:31" ht="15.6" x14ac:dyDescent="0.3">
      <c r="B88" s="26">
        <v>4</v>
      </c>
      <c r="C88" s="27" t="s">
        <v>195</v>
      </c>
      <c r="D88" s="26">
        <v>45</v>
      </c>
      <c r="E88" s="26">
        <v>42</v>
      </c>
      <c r="F88" s="33">
        <f t="shared" si="17"/>
        <v>87</v>
      </c>
      <c r="G88" s="26">
        <v>40</v>
      </c>
      <c r="H88" s="26">
        <v>35</v>
      </c>
      <c r="I88" s="33">
        <f t="shared" si="18"/>
        <v>75</v>
      </c>
      <c r="J88" s="26">
        <v>35</v>
      </c>
      <c r="K88" s="26">
        <v>41</v>
      </c>
      <c r="L88" s="33">
        <f t="shared" si="19"/>
        <v>76</v>
      </c>
      <c r="M88" s="26">
        <v>43</v>
      </c>
      <c r="N88" s="26">
        <v>43</v>
      </c>
      <c r="O88" s="33">
        <f t="shared" si="20"/>
        <v>86</v>
      </c>
      <c r="P88" s="26">
        <v>46</v>
      </c>
      <c r="Q88" s="26">
        <v>46</v>
      </c>
      <c r="R88" s="33">
        <f t="shared" si="21"/>
        <v>92</v>
      </c>
      <c r="S88" s="26">
        <v>45</v>
      </c>
      <c r="T88" s="26">
        <v>43</v>
      </c>
      <c r="U88" s="33">
        <f t="shared" si="22"/>
        <v>88</v>
      </c>
      <c r="V88" s="26">
        <v>42</v>
      </c>
      <c r="W88" s="26">
        <v>40</v>
      </c>
      <c r="X88" s="33">
        <f t="shared" si="23"/>
        <v>82</v>
      </c>
      <c r="Y88" s="26"/>
      <c r="Z88" s="26"/>
      <c r="AA88" s="26"/>
      <c r="AB88" s="33">
        <f t="shared" si="24"/>
        <v>586</v>
      </c>
      <c r="AC88" s="26" t="s">
        <v>117</v>
      </c>
      <c r="AD88" s="29"/>
      <c r="AE88" s="5"/>
    </row>
    <row r="89" spans="2:31" ht="15.6" x14ac:dyDescent="0.3">
      <c r="B89" s="26">
        <v>5</v>
      </c>
      <c r="C89" s="27" t="s">
        <v>528</v>
      </c>
      <c r="D89" s="26">
        <v>50</v>
      </c>
      <c r="E89" s="26">
        <v>47</v>
      </c>
      <c r="F89" s="33">
        <f t="shared" si="17"/>
        <v>97</v>
      </c>
      <c r="G89" s="26">
        <v>49</v>
      </c>
      <c r="H89" s="26">
        <v>50</v>
      </c>
      <c r="I89" s="33">
        <f t="shared" si="18"/>
        <v>99</v>
      </c>
      <c r="J89" s="26">
        <v>48</v>
      </c>
      <c r="K89" s="26">
        <v>44</v>
      </c>
      <c r="L89" s="33">
        <f t="shared" si="19"/>
        <v>92</v>
      </c>
      <c r="M89" s="26">
        <v>50</v>
      </c>
      <c r="N89" s="26">
        <v>45</v>
      </c>
      <c r="O89" s="33">
        <f t="shared" si="20"/>
        <v>95</v>
      </c>
      <c r="P89" s="26">
        <v>48</v>
      </c>
      <c r="Q89" s="26">
        <v>42</v>
      </c>
      <c r="R89" s="33">
        <f t="shared" si="21"/>
        <v>90</v>
      </c>
      <c r="S89" s="26">
        <v>49</v>
      </c>
      <c r="T89" s="26">
        <v>49</v>
      </c>
      <c r="U89" s="33">
        <f t="shared" si="22"/>
        <v>98</v>
      </c>
      <c r="V89" s="26">
        <v>50</v>
      </c>
      <c r="W89" s="26">
        <v>48</v>
      </c>
      <c r="X89" s="33">
        <f t="shared" si="23"/>
        <v>98</v>
      </c>
      <c r="Y89" s="26"/>
      <c r="Z89" s="26"/>
      <c r="AA89" s="26"/>
      <c r="AB89" s="33">
        <f t="shared" si="24"/>
        <v>669</v>
      </c>
      <c r="AC89" s="26" t="s">
        <v>117</v>
      </c>
      <c r="AD89" s="29"/>
      <c r="AE89" s="5"/>
    </row>
    <row r="90" spans="2:31" ht="15.6" x14ac:dyDescent="0.3">
      <c r="B90" s="26">
        <v>6</v>
      </c>
      <c r="C90" s="27" t="s">
        <v>455</v>
      </c>
      <c r="D90" s="26">
        <v>49</v>
      </c>
      <c r="E90" s="26">
        <v>44</v>
      </c>
      <c r="F90" s="33">
        <f t="shared" si="17"/>
        <v>93</v>
      </c>
      <c r="G90" s="26">
        <v>42</v>
      </c>
      <c r="H90" s="26">
        <v>41</v>
      </c>
      <c r="I90" s="33">
        <f t="shared" si="18"/>
        <v>83</v>
      </c>
      <c r="J90" s="26">
        <v>40</v>
      </c>
      <c r="K90" s="26">
        <v>33</v>
      </c>
      <c r="L90" s="33">
        <f t="shared" si="19"/>
        <v>73</v>
      </c>
      <c r="M90" s="26">
        <v>48</v>
      </c>
      <c r="N90" s="26">
        <v>30</v>
      </c>
      <c r="O90" s="33">
        <f t="shared" si="20"/>
        <v>78</v>
      </c>
      <c r="P90" s="26">
        <v>28</v>
      </c>
      <c r="Q90" s="26">
        <v>40</v>
      </c>
      <c r="R90" s="33">
        <f t="shared" si="21"/>
        <v>68</v>
      </c>
      <c r="S90" s="26">
        <v>41</v>
      </c>
      <c r="T90" s="26">
        <v>50</v>
      </c>
      <c r="U90" s="33">
        <f t="shared" si="22"/>
        <v>91</v>
      </c>
      <c r="V90" s="26">
        <v>44</v>
      </c>
      <c r="W90" s="26">
        <v>42</v>
      </c>
      <c r="X90" s="33">
        <f t="shared" si="23"/>
        <v>86</v>
      </c>
      <c r="Y90" s="26"/>
      <c r="Z90" s="26"/>
      <c r="AA90" s="26"/>
      <c r="AB90" s="33">
        <f t="shared" si="24"/>
        <v>572</v>
      </c>
      <c r="AC90" s="26" t="s">
        <v>117</v>
      </c>
      <c r="AD90" s="29"/>
      <c r="AE90" s="5"/>
    </row>
    <row r="91" spans="2:31" ht="15.6" x14ac:dyDescent="0.3">
      <c r="B91" s="26">
        <v>7</v>
      </c>
      <c r="C91" s="27" t="s">
        <v>579</v>
      </c>
      <c r="D91" s="26">
        <v>36</v>
      </c>
      <c r="E91" s="26">
        <v>25</v>
      </c>
      <c r="F91" s="33">
        <f t="shared" si="17"/>
        <v>61</v>
      </c>
      <c r="G91" s="26">
        <v>19</v>
      </c>
      <c r="H91" s="26">
        <v>34</v>
      </c>
      <c r="I91" s="33">
        <f t="shared" si="18"/>
        <v>53</v>
      </c>
      <c r="J91" s="26">
        <v>29</v>
      </c>
      <c r="K91" s="26">
        <v>31</v>
      </c>
      <c r="L91" s="33">
        <f t="shared" si="19"/>
        <v>60</v>
      </c>
      <c r="M91" s="26">
        <v>44</v>
      </c>
      <c r="N91" s="26">
        <v>26</v>
      </c>
      <c r="O91" s="33">
        <f t="shared" si="20"/>
        <v>70</v>
      </c>
      <c r="P91" s="26">
        <v>29</v>
      </c>
      <c r="Q91" s="26">
        <v>26</v>
      </c>
      <c r="R91" s="33">
        <f t="shared" si="21"/>
        <v>55</v>
      </c>
      <c r="S91" s="26">
        <v>26</v>
      </c>
      <c r="T91" s="26">
        <v>32</v>
      </c>
      <c r="U91" s="33">
        <f t="shared" si="22"/>
        <v>58</v>
      </c>
      <c r="V91" s="26">
        <v>43</v>
      </c>
      <c r="W91" s="26">
        <v>36</v>
      </c>
      <c r="X91" s="33">
        <f t="shared" si="23"/>
        <v>79</v>
      </c>
      <c r="Y91" s="26"/>
      <c r="Z91" s="26"/>
      <c r="AA91" s="26"/>
      <c r="AB91" s="33">
        <f t="shared" si="24"/>
        <v>436</v>
      </c>
      <c r="AC91" s="26" t="s">
        <v>117</v>
      </c>
      <c r="AD91" s="29"/>
      <c r="AE91" s="5"/>
    </row>
    <row r="92" spans="2:31" ht="15.6" x14ac:dyDescent="0.3">
      <c r="B92" s="26">
        <v>8</v>
      </c>
      <c r="C92" s="27" t="s">
        <v>580</v>
      </c>
      <c r="D92" s="26">
        <v>39</v>
      </c>
      <c r="E92" s="26">
        <v>22</v>
      </c>
      <c r="F92" s="33">
        <f t="shared" si="17"/>
        <v>61</v>
      </c>
      <c r="G92" s="26">
        <v>26</v>
      </c>
      <c r="H92" s="26">
        <v>30</v>
      </c>
      <c r="I92" s="33">
        <f t="shared" si="18"/>
        <v>56</v>
      </c>
      <c r="J92" s="26">
        <v>26</v>
      </c>
      <c r="K92" s="26">
        <v>27</v>
      </c>
      <c r="L92" s="33">
        <f t="shared" si="19"/>
        <v>53</v>
      </c>
      <c r="M92" s="26">
        <v>29</v>
      </c>
      <c r="N92" s="26">
        <v>30</v>
      </c>
      <c r="O92" s="33">
        <f t="shared" si="20"/>
        <v>59</v>
      </c>
      <c r="P92" s="26">
        <v>29</v>
      </c>
      <c r="Q92" s="26">
        <v>27</v>
      </c>
      <c r="R92" s="33">
        <f t="shared" si="21"/>
        <v>56</v>
      </c>
      <c r="S92" s="26">
        <v>20</v>
      </c>
      <c r="T92" s="26">
        <v>45</v>
      </c>
      <c r="U92" s="33">
        <f t="shared" si="22"/>
        <v>65</v>
      </c>
      <c r="V92" s="26">
        <v>38</v>
      </c>
      <c r="W92" s="26">
        <v>35</v>
      </c>
      <c r="X92" s="33">
        <f t="shared" si="23"/>
        <v>73</v>
      </c>
      <c r="Y92" s="26"/>
      <c r="Z92" s="26"/>
      <c r="AA92" s="26"/>
      <c r="AB92" s="33">
        <f t="shared" si="24"/>
        <v>423</v>
      </c>
      <c r="AC92" s="26" t="s">
        <v>117</v>
      </c>
      <c r="AD92" s="29"/>
      <c r="AE92" s="5"/>
    </row>
    <row r="93" spans="2:31" ht="15.6" x14ac:dyDescent="0.3">
      <c r="B93" s="26">
        <v>9</v>
      </c>
      <c r="C93" s="27" t="s">
        <v>196</v>
      </c>
      <c r="D93" s="26">
        <v>34</v>
      </c>
      <c r="E93" s="26">
        <v>23</v>
      </c>
      <c r="F93" s="33">
        <f t="shared" si="17"/>
        <v>57</v>
      </c>
      <c r="G93" s="26">
        <v>19</v>
      </c>
      <c r="H93" s="26">
        <v>31</v>
      </c>
      <c r="I93" s="33">
        <f t="shared" si="18"/>
        <v>50</v>
      </c>
      <c r="J93" s="26">
        <v>27</v>
      </c>
      <c r="K93" s="26">
        <v>26</v>
      </c>
      <c r="L93" s="33">
        <f t="shared" si="19"/>
        <v>53</v>
      </c>
      <c r="M93" s="26">
        <v>27</v>
      </c>
      <c r="N93" s="26">
        <v>25</v>
      </c>
      <c r="O93" s="33">
        <f t="shared" si="20"/>
        <v>52</v>
      </c>
      <c r="P93" s="26">
        <v>27</v>
      </c>
      <c r="Q93" s="26">
        <v>28</v>
      </c>
      <c r="R93" s="33">
        <f t="shared" si="21"/>
        <v>55</v>
      </c>
      <c r="S93" s="26">
        <v>27</v>
      </c>
      <c r="T93" s="26">
        <v>31</v>
      </c>
      <c r="U93" s="33">
        <f t="shared" si="22"/>
        <v>58</v>
      </c>
      <c r="V93" s="26">
        <v>38</v>
      </c>
      <c r="W93" s="26">
        <v>34</v>
      </c>
      <c r="X93" s="33">
        <f t="shared" si="23"/>
        <v>72</v>
      </c>
      <c r="Y93" s="26"/>
      <c r="Z93" s="26"/>
      <c r="AA93" s="26"/>
      <c r="AB93" s="33">
        <f t="shared" si="24"/>
        <v>397</v>
      </c>
      <c r="AC93" s="26" t="s">
        <v>117</v>
      </c>
      <c r="AD93" s="29"/>
      <c r="AE93" s="5"/>
    </row>
    <row r="94" spans="2:31" ht="15.6" x14ac:dyDescent="0.3">
      <c r="B94" s="26">
        <v>10</v>
      </c>
      <c r="C94" s="27" t="s">
        <v>452</v>
      </c>
      <c r="D94" s="26">
        <v>30</v>
      </c>
      <c r="E94" s="26">
        <v>22</v>
      </c>
      <c r="F94" s="33">
        <f t="shared" si="17"/>
        <v>52</v>
      </c>
      <c r="G94" s="26">
        <v>25</v>
      </c>
      <c r="H94" s="26">
        <v>30</v>
      </c>
      <c r="I94" s="33">
        <f t="shared" si="18"/>
        <v>55</v>
      </c>
      <c r="J94" s="26">
        <v>29</v>
      </c>
      <c r="K94" s="26">
        <v>25</v>
      </c>
      <c r="L94" s="33">
        <f t="shared" si="19"/>
        <v>54</v>
      </c>
      <c r="M94" s="26">
        <v>35</v>
      </c>
      <c r="N94" s="26">
        <v>27</v>
      </c>
      <c r="O94" s="33">
        <f t="shared" si="20"/>
        <v>62</v>
      </c>
      <c r="P94" s="26">
        <v>39</v>
      </c>
      <c r="Q94" s="26">
        <v>30</v>
      </c>
      <c r="R94" s="33">
        <f t="shared" si="21"/>
        <v>69</v>
      </c>
      <c r="S94" s="26">
        <v>25</v>
      </c>
      <c r="T94" s="26">
        <v>30</v>
      </c>
      <c r="U94" s="33">
        <f t="shared" si="22"/>
        <v>55</v>
      </c>
      <c r="V94" s="26">
        <v>33</v>
      </c>
      <c r="W94" s="26">
        <v>33</v>
      </c>
      <c r="X94" s="33">
        <f t="shared" si="23"/>
        <v>66</v>
      </c>
      <c r="Y94" s="26"/>
      <c r="Z94" s="26"/>
      <c r="AA94" s="26"/>
      <c r="AB94" s="33">
        <f t="shared" si="24"/>
        <v>413</v>
      </c>
      <c r="AC94" s="26" t="s">
        <v>117</v>
      </c>
      <c r="AD94" s="29"/>
      <c r="AE94" s="5"/>
    </row>
    <row r="95" spans="2:31" ht="15.6" x14ac:dyDescent="0.3">
      <c r="B95" s="26">
        <v>11</v>
      </c>
      <c r="C95" s="27" t="s">
        <v>197</v>
      </c>
      <c r="D95" s="26">
        <v>35</v>
      </c>
      <c r="E95" s="26">
        <v>40</v>
      </c>
      <c r="F95" s="33">
        <f t="shared" si="17"/>
        <v>75</v>
      </c>
      <c r="G95" s="26">
        <v>25</v>
      </c>
      <c r="H95" s="26">
        <v>50</v>
      </c>
      <c r="I95" s="33">
        <f t="shared" si="18"/>
        <v>75</v>
      </c>
      <c r="J95" s="26">
        <v>34</v>
      </c>
      <c r="K95" s="26">
        <v>38</v>
      </c>
      <c r="L95" s="33">
        <f t="shared" si="19"/>
        <v>72</v>
      </c>
      <c r="M95" s="26">
        <v>40</v>
      </c>
      <c r="N95" s="26">
        <v>25</v>
      </c>
      <c r="O95" s="33">
        <f t="shared" si="20"/>
        <v>65</v>
      </c>
      <c r="P95" s="26">
        <v>33</v>
      </c>
      <c r="Q95" s="26">
        <v>33</v>
      </c>
      <c r="R95" s="33">
        <f t="shared" si="21"/>
        <v>66</v>
      </c>
      <c r="S95" s="26">
        <v>34</v>
      </c>
      <c r="T95" s="26">
        <v>46</v>
      </c>
      <c r="U95" s="33">
        <f t="shared" si="22"/>
        <v>80</v>
      </c>
      <c r="V95" s="26">
        <v>42</v>
      </c>
      <c r="W95" s="26">
        <v>22</v>
      </c>
      <c r="X95" s="33">
        <f t="shared" si="23"/>
        <v>64</v>
      </c>
      <c r="Y95" s="26"/>
      <c r="Z95" s="26"/>
      <c r="AA95" s="26"/>
      <c r="AB95" s="33">
        <f t="shared" si="24"/>
        <v>497</v>
      </c>
      <c r="AC95" s="26" t="s">
        <v>117</v>
      </c>
      <c r="AD95" s="29"/>
      <c r="AE95" s="5"/>
    </row>
    <row r="96" spans="2:31" ht="15.6" x14ac:dyDescent="0.3">
      <c r="B96" s="26">
        <v>12</v>
      </c>
      <c r="C96" s="27" t="s">
        <v>198</v>
      </c>
      <c r="D96" s="26">
        <v>25</v>
      </c>
      <c r="E96" s="26">
        <v>32</v>
      </c>
      <c r="F96" s="33">
        <f t="shared" si="17"/>
        <v>57</v>
      </c>
      <c r="G96" s="26">
        <v>27</v>
      </c>
      <c r="H96" s="26">
        <v>29</v>
      </c>
      <c r="I96" s="33">
        <f t="shared" si="18"/>
        <v>56</v>
      </c>
      <c r="J96" s="26">
        <v>27</v>
      </c>
      <c r="K96" s="26">
        <v>27</v>
      </c>
      <c r="L96" s="33">
        <f t="shared" si="19"/>
        <v>54</v>
      </c>
      <c r="M96" s="26">
        <v>26</v>
      </c>
      <c r="N96" s="26">
        <v>25</v>
      </c>
      <c r="O96" s="33">
        <f t="shared" si="20"/>
        <v>51</v>
      </c>
      <c r="P96" s="26">
        <v>22</v>
      </c>
      <c r="Q96" s="26">
        <v>30</v>
      </c>
      <c r="R96" s="33">
        <f t="shared" si="21"/>
        <v>52</v>
      </c>
      <c r="S96" s="26">
        <v>24</v>
      </c>
      <c r="T96" s="26">
        <v>30</v>
      </c>
      <c r="U96" s="33">
        <f t="shared" si="22"/>
        <v>54</v>
      </c>
      <c r="V96" s="26">
        <v>47</v>
      </c>
      <c r="W96" s="26">
        <v>26</v>
      </c>
      <c r="X96" s="33">
        <f t="shared" si="23"/>
        <v>73</v>
      </c>
      <c r="Y96" s="26"/>
      <c r="Z96" s="26"/>
      <c r="AA96" s="26"/>
      <c r="AB96" s="33">
        <f t="shared" si="24"/>
        <v>397</v>
      </c>
      <c r="AC96" s="26" t="s">
        <v>117</v>
      </c>
      <c r="AD96" s="29"/>
      <c r="AE96" s="5"/>
    </row>
    <row r="97" spans="2:31" ht="15.6" x14ac:dyDescent="0.3">
      <c r="B97" s="26">
        <v>13</v>
      </c>
      <c r="C97" s="27" t="s">
        <v>529</v>
      </c>
      <c r="D97" s="26">
        <v>29</v>
      </c>
      <c r="E97" s="26">
        <v>29</v>
      </c>
      <c r="F97" s="33">
        <f t="shared" si="17"/>
        <v>58</v>
      </c>
      <c r="G97" s="26">
        <v>26</v>
      </c>
      <c r="H97" s="26">
        <v>29</v>
      </c>
      <c r="I97" s="33">
        <f t="shared" si="18"/>
        <v>55</v>
      </c>
      <c r="J97" s="26">
        <v>27</v>
      </c>
      <c r="K97" s="26">
        <v>33</v>
      </c>
      <c r="L97" s="33">
        <f t="shared" si="19"/>
        <v>60</v>
      </c>
      <c r="M97" s="26">
        <v>37</v>
      </c>
      <c r="N97" s="26">
        <v>33</v>
      </c>
      <c r="O97" s="33">
        <f t="shared" si="20"/>
        <v>70</v>
      </c>
      <c r="P97" s="26">
        <v>27</v>
      </c>
      <c r="Q97" s="26">
        <v>28</v>
      </c>
      <c r="R97" s="33">
        <f t="shared" si="21"/>
        <v>55</v>
      </c>
      <c r="S97" s="26">
        <v>25</v>
      </c>
      <c r="T97" s="26">
        <v>31</v>
      </c>
      <c r="U97" s="33">
        <f t="shared" si="22"/>
        <v>56</v>
      </c>
      <c r="V97" s="26">
        <v>33</v>
      </c>
      <c r="W97" s="26">
        <v>34</v>
      </c>
      <c r="X97" s="33">
        <f t="shared" si="23"/>
        <v>67</v>
      </c>
      <c r="Y97" s="26"/>
      <c r="Z97" s="26"/>
      <c r="AA97" s="26"/>
      <c r="AB97" s="33">
        <f t="shared" si="24"/>
        <v>421</v>
      </c>
      <c r="AC97" s="26" t="s">
        <v>117</v>
      </c>
      <c r="AD97" s="29"/>
      <c r="AE97" s="5"/>
    </row>
    <row r="98" spans="2:31" ht="15.6" x14ac:dyDescent="0.3">
      <c r="B98" s="26">
        <v>14</v>
      </c>
      <c r="C98" s="27" t="s">
        <v>581</v>
      </c>
      <c r="D98" s="26">
        <v>21</v>
      </c>
      <c r="E98" s="26">
        <v>29</v>
      </c>
      <c r="F98" s="33">
        <f t="shared" si="17"/>
        <v>50</v>
      </c>
      <c r="G98" s="26">
        <v>26</v>
      </c>
      <c r="H98" s="26">
        <v>31</v>
      </c>
      <c r="I98" s="33">
        <f t="shared" si="18"/>
        <v>57</v>
      </c>
      <c r="J98" s="26">
        <v>29</v>
      </c>
      <c r="K98" s="26">
        <v>25</v>
      </c>
      <c r="L98" s="33">
        <f t="shared" si="19"/>
        <v>54</v>
      </c>
      <c r="M98" s="26">
        <v>39</v>
      </c>
      <c r="N98" s="26">
        <v>29</v>
      </c>
      <c r="O98" s="33">
        <f t="shared" si="20"/>
        <v>68</v>
      </c>
      <c r="P98" s="26">
        <v>23</v>
      </c>
      <c r="Q98" s="26">
        <v>36</v>
      </c>
      <c r="R98" s="33">
        <f t="shared" si="21"/>
        <v>59</v>
      </c>
      <c r="S98" s="26">
        <v>27</v>
      </c>
      <c r="T98" s="26">
        <v>32</v>
      </c>
      <c r="U98" s="33">
        <f t="shared" si="22"/>
        <v>59</v>
      </c>
      <c r="V98" s="26">
        <v>23</v>
      </c>
      <c r="W98" s="26">
        <v>34</v>
      </c>
      <c r="X98" s="33">
        <f t="shared" si="23"/>
        <v>57</v>
      </c>
      <c r="Y98" s="26"/>
      <c r="Z98" s="26"/>
      <c r="AA98" s="26"/>
      <c r="AB98" s="33">
        <f t="shared" si="24"/>
        <v>404</v>
      </c>
      <c r="AC98" s="26" t="s">
        <v>117</v>
      </c>
      <c r="AD98" s="29"/>
      <c r="AE98" s="5"/>
    </row>
    <row r="99" spans="2:31" ht="15.6" x14ac:dyDescent="0.3">
      <c r="B99" s="26">
        <v>15</v>
      </c>
      <c r="C99" s="27" t="s">
        <v>582</v>
      </c>
      <c r="D99" s="26">
        <v>33</v>
      </c>
      <c r="E99" s="26">
        <v>29</v>
      </c>
      <c r="F99" s="33">
        <f t="shared" si="17"/>
        <v>62</v>
      </c>
      <c r="G99" s="26">
        <v>30</v>
      </c>
      <c r="H99" s="26">
        <v>36</v>
      </c>
      <c r="I99" s="33">
        <f t="shared" si="18"/>
        <v>66</v>
      </c>
      <c r="J99" s="26">
        <v>26</v>
      </c>
      <c r="K99" s="26">
        <v>25</v>
      </c>
      <c r="L99" s="33">
        <f t="shared" si="19"/>
        <v>51</v>
      </c>
      <c r="M99" s="26">
        <v>29</v>
      </c>
      <c r="N99" s="26">
        <v>25</v>
      </c>
      <c r="O99" s="33">
        <f t="shared" si="20"/>
        <v>54</v>
      </c>
      <c r="P99" s="26">
        <v>32</v>
      </c>
      <c r="Q99" s="26">
        <v>34</v>
      </c>
      <c r="R99" s="33">
        <f t="shared" si="21"/>
        <v>66</v>
      </c>
      <c r="S99" s="26">
        <v>25</v>
      </c>
      <c r="T99" s="26">
        <v>34</v>
      </c>
      <c r="U99" s="33">
        <f t="shared" si="22"/>
        <v>59</v>
      </c>
      <c r="V99" s="26">
        <v>29</v>
      </c>
      <c r="W99" s="26">
        <v>37</v>
      </c>
      <c r="X99" s="33">
        <f t="shared" si="23"/>
        <v>66</v>
      </c>
      <c r="Y99" s="26"/>
      <c r="Z99" s="26"/>
      <c r="AA99" s="26"/>
      <c r="AB99" s="33">
        <f t="shared" si="24"/>
        <v>424</v>
      </c>
      <c r="AC99" s="26" t="s">
        <v>117</v>
      </c>
      <c r="AD99" s="29"/>
      <c r="AE99" s="5"/>
    </row>
    <row r="100" spans="2:31" ht="15.6" x14ac:dyDescent="0.3">
      <c r="B100" s="26">
        <v>16</v>
      </c>
      <c r="C100" s="27" t="s">
        <v>583</v>
      </c>
      <c r="D100" s="26">
        <v>45</v>
      </c>
      <c r="E100" s="26">
        <v>49</v>
      </c>
      <c r="F100" s="33">
        <f t="shared" si="17"/>
        <v>94</v>
      </c>
      <c r="G100" s="26">
        <v>48</v>
      </c>
      <c r="H100" s="26">
        <v>50</v>
      </c>
      <c r="I100" s="33">
        <f t="shared" si="18"/>
        <v>98</v>
      </c>
      <c r="J100" s="26">
        <v>46</v>
      </c>
      <c r="K100" s="26">
        <v>41</v>
      </c>
      <c r="L100" s="33">
        <f t="shared" si="19"/>
        <v>87</v>
      </c>
      <c r="M100" s="26">
        <v>46</v>
      </c>
      <c r="N100" s="26">
        <v>50</v>
      </c>
      <c r="O100" s="33">
        <f t="shared" si="20"/>
        <v>96</v>
      </c>
      <c r="P100" s="26">
        <v>44</v>
      </c>
      <c r="Q100" s="26">
        <v>43</v>
      </c>
      <c r="R100" s="33">
        <f t="shared" si="21"/>
        <v>87</v>
      </c>
      <c r="S100" s="26">
        <v>50</v>
      </c>
      <c r="T100" s="26">
        <v>50</v>
      </c>
      <c r="U100" s="33">
        <f t="shared" si="22"/>
        <v>100</v>
      </c>
      <c r="V100" s="26">
        <v>49</v>
      </c>
      <c r="W100" s="26">
        <v>50</v>
      </c>
      <c r="X100" s="33">
        <f t="shared" si="23"/>
        <v>99</v>
      </c>
      <c r="Y100" s="26"/>
      <c r="Z100" s="26"/>
      <c r="AA100" s="26"/>
      <c r="AB100" s="33">
        <f t="shared" si="24"/>
        <v>661</v>
      </c>
      <c r="AC100" s="26" t="s">
        <v>117</v>
      </c>
      <c r="AD100" s="29"/>
      <c r="AE100" s="5"/>
    </row>
    <row r="101" spans="2:31" ht="15.6" x14ac:dyDescent="0.3">
      <c r="B101" s="26">
        <v>17</v>
      </c>
      <c r="C101" s="27" t="s">
        <v>584</v>
      </c>
      <c r="D101" s="26">
        <v>41</v>
      </c>
      <c r="E101" s="26">
        <v>30</v>
      </c>
      <c r="F101" s="33">
        <f t="shared" si="17"/>
        <v>71</v>
      </c>
      <c r="G101" s="26">
        <v>39</v>
      </c>
      <c r="H101" s="26">
        <v>42</v>
      </c>
      <c r="I101" s="33">
        <f t="shared" si="18"/>
        <v>81</v>
      </c>
      <c r="J101" s="26">
        <v>31</v>
      </c>
      <c r="K101" s="26">
        <v>28</v>
      </c>
      <c r="L101" s="33">
        <f t="shared" si="19"/>
        <v>59</v>
      </c>
      <c r="M101" s="26">
        <v>28</v>
      </c>
      <c r="N101" s="26">
        <v>26</v>
      </c>
      <c r="O101" s="33">
        <f t="shared" si="20"/>
        <v>54</v>
      </c>
      <c r="P101" s="26">
        <v>28</v>
      </c>
      <c r="Q101" s="26">
        <v>25</v>
      </c>
      <c r="R101" s="33">
        <f t="shared" si="21"/>
        <v>53</v>
      </c>
      <c r="S101" s="26">
        <v>36</v>
      </c>
      <c r="T101" s="26">
        <v>36</v>
      </c>
      <c r="U101" s="33">
        <f t="shared" si="22"/>
        <v>72</v>
      </c>
      <c r="V101" s="26">
        <v>33</v>
      </c>
      <c r="W101" s="26">
        <v>29</v>
      </c>
      <c r="X101" s="33">
        <f t="shared" si="23"/>
        <v>62</v>
      </c>
      <c r="Y101" s="26"/>
      <c r="Z101" s="26"/>
      <c r="AA101" s="26"/>
      <c r="AB101" s="33">
        <f t="shared" si="24"/>
        <v>452</v>
      </c>
      <c r="AC101" s="26" t="s">
        <v>117</v>
      </c>
      <c r="AD101" s="29"/>
      <c r="AE101" s="5"/>
    </row>
    <row r="102" spans="2:31" ht="15.6" x14ac:dyDescent="0.3">
      <c r="B102" s="26">
        <v>18</v>
      </c>
      <c r="C102" s="27" t="s">
        <v>585</v>
      </c>
      <c r="D102" s="26">
        <v>31</v>
      </c>
      <c r="E102" s="26">
        <v>32</v>
      </c>
      <c r="F102" s="33">
        <f t="shared" si="17"/>
        <v>63</v>
      </c>
      <c r="G102" s="26">
        <v>25</v>
      </c>
      <c r="H102" s="26">
        <v>38</v>
      </c>
      <c r="I102" s="33">
        <f t="shared" si="18"/>
        <v>63</v>
      </c>
      <c r="J102" s="26">
        <v>28</v>
      </c>
      <c r="K102" s="26">
        <v>28</v>
      </c>
      <c r="L102" s="33">
        <f t="shared" si="19"/>
        <v>56</v>
      </c>
      <c r="M102" s="26">
        <v>37</v>
      </c>
      <c r="N102" s="26">
        <v>40</v>
      </c>
      <c r="O102" s="33">
        <f t="shared" si="20"/>
        <v>77</v>
      </c>
      <c r="P102" s="26">
        <v>25</v>
      </c>
      <c r="Q102" s="26">
        <v>34</v>
      </c>
      <c r="R102" s="33">
        <f t="shared" si="21"/>
        <v>59</v>
      </c>
      <c r="S102" s="26">
        <v>25</v>
      </c>
      <c r="T102" s="26">
        <v>41</v>
      </c>
      <c r="U102" s="33">
        <f t="shared" si="22"/>
        <v>66</v>
      </c>
      <c r="V102" s="26">
        <v>35</v>
      </c>
      <c r="W102" s="26">
        <v>39</v>
      </c>
      <c r="X102" s="33">
        <f t="shared" si="23"/>
        <v>74</v>
      </c>
      <c r="Y102" s="26"/>
      <c r="Z102" s="26"/>
      <c r="AA102" s="26"/>
      <c r="AB102" s="33">
        <f t="shared" si="24"/>
        <v>458</v>
      </c>
      <c r="AC102" s="26" t="s">
        <v>117</v>
      </c>
      <c r="AD102" s="29"/>
      <c r="AE102" s="5"/>
    </row>
    <row r="103" spans="2:31" ht="15.6" x14ac:dyDescent="0.3">
      <c r="B103" s="26">
        <v>19</v>
      </c>
      <c r="C103" s="27" t="s">
        <v>199</v>
      </c>
      <c r="D103" s="26">
        <v>43</v>
      </c>
      <c r="E103" s="26">
        <v>25</v>
      </c>
      <c r="F103" s="33">
        <f t="shared" si="17"/>
        <v>68</v>
      </c>
      <c r="G103" s="26">
        <v>39</v>
      </c>
      <c r="H103" s="26">
        <v>39</v>
      </c>
      <c r="I103" s="33">
        <f t="shared" si="18"/>
        <v>78</v>
      </c>
      <c r="J103" s="26">
        <v>30</v>
      </c>
      <c r="K103" s="26">
        <v>41</v>
      </c>
      <c r="L103" s="33">
        <f t="shared" si="19"/>
        <v>71</v>
      </c>
      <c r="M103" s="26">
        <v>35</v>
      </c>
      <c r="N103" s="26">
        <v>25</v>
      </c>
      <c r="O103" s="33">
        <f t="shared" si="20"/>
        <v>60</v>
      </c>
      <c r="P103" s="26">
        <v>26</v>
      </c>
      <c r="Q103" s="26">
        <v>25</v>
      </c>
      <c r="R103" s="33">
        <f t="shared" si="21"/>
        <v>51</v>
      </c>
      <c r="S103" s="26">
        <v>30</v>
      </c>
      <c r="T103" s="26">
        <v>29</v>
      </c>
      <c r="U103" s="33">
        <f t="shared" si="22"/>
        <v>59</v>
      </c>
      <c r="V103" s="26">
        <v>33</v>
      </c>
      <c r="W103" s="26">
        <v>37</v>
      </c>
      <c r="X103" s="33">
        <f t="shared" si="23"/>
        <v>70</v>
      </c>
      <c r="Y103" s="26"/>
      <c r="Z103" s="26"/>
      <c r="AA103" s="26"/>
      <c r="AB103" s="33">
        <f t="shared" si="24"/>
        <v>457</v>
      </c>
      <c r="AC103" s="26" t="s">
        <v>117</v>
      </c>
      <c r="AD103" s="29"/>
      <c r="AE103" s="5"/>
    </row>
    <row r="104" spans="2:31" ht="15.6" x14ac:dyDescent="0.3">
      <c r="B104" s="26">
        <v>20</v>
      </c>
      <c r="C104" s="27" t="s">
        <v>530</v>
      </c>
      <c r="D104" s="26">
        <v>32</v>
      </c>
      <c r="E104" s="26">
        <v>25</v>
      </c>
      <c r="F104" s="33">
        <f t="shared" si="17"/>
        <v>57</v>
      </c>
      <c r="G104" s="26">
        <v>20</v>
      </c>
      <c r="H104" s="26">
        <v>34</v>
      </c>
      <c r="I104" s="33">
        <f t="shared" si="18"/>
        <v>54</v>
      </c>
      <c r="J104" s="26">
        <v>25</v>
      </c>
      <c r="K104" s="26">
        <v>29</v>
      </c>
      <c r="L104" s="33">
        <f t="shared" si="19"/>
        <v>54</v>
      </c>
      <c r="M104" s="26">
        <v>30</v>
      </c>
      <c r="N104" s="26">
        <v>30</v>
      </c>
      <c r="O104" s="33">
        <f t="shared" si="20"/>
        <v>60</v>
      </c>
      <c r="P104" s="26">
        <v>26</v>
      </c>
      <c r="Q104" s="26">
        <v>28</v>
      </c>
      <c r="R104" s="33">
        <f t="shared" si="21"/>
        <v>54</v>
      </c>
      <c r="S104" s="26">
        <v>20</v>
      </c>
      <c r="T104" s="26">
        <v>38</v>
      </c>
      <c r="U104" s="33">
        <f t="shared" si="22"/>
        <v>58</v>
      </c>
      <c r="V104" s="26">
        <v>32</v>
      </c>
      <c r="W104" s="26">
        <v>35</v>
      </c>
      <c r="X104" s="33">
        <f t="shared" si="23"/>
        <v>67</v>
      </c>
      <c r="Y104" s="26"/>
      <c r="Z104" s="26"/>
      <c r="AA104" s="26"/>
      <c r="AB104" s="33">
        <f t="shared" si="24"/>
        <v>404</v>
      </c>
      <c r="AC104" s="26" t="s">
        <v>117</v>
      </c>
      <c r="AD104" s="29"/>
      <c r="AE104" s="5"/>
    </row>
    <row r="105" spans="2:31" ht="15.6" x14ac:dyDescent="0.3">
      <c r="B105" s="3" t="s">
        <v>219</v>
      </c>
      <c r="C105" s="11"/>
      <c r="D105" s="8"/>
      <c r="E105" s="8"/>
      <c r="F105" s="8"/>
      <c r="G105" s="22"/>
      <c r="H105" s="22" t="s">
        <v>468</v>
      </c>
      <c r="I105" s="22"/>
      <c r="J105" s="22"/>
      <c r="K105" s="22"/>
      <c r="L105" s="22"/>
      <c r="M105" s="22"/>
      <c r="N105" s="22"/>
      <c r="O105" s="22"/>
      <c r="P105" s="22" t="s">
        <v>82</v>
      </c>
      <c r="Q105" s="22"/>
      <c r="R105" s="22"/>
      <c r="S105" s="22"/>
      <c r="T105" s="22"/>
      <c r="U105" s="22"/>
      <c r="V105" s="22" t="s">
        <v>83</v>
      </c>
      <c r="W105" s="22"/>
      <c r="X105" s="22"/>
      <c r="Y105" s="22"/>
      <c r="Z105" s="22"/>
      <c r="AA105" s="9"/>
      <c r="AB105" s="10"/>
      <c r="AC105" s="5" t="s">
        <v>84</v>
      </c>
      <c r="AD105" s="5"/>
    </row>
    <row r="106" spans="2:31" x14ac:dyDescent="0.25">
      <c r="B106" s="3" t="s">
        <v>89</v>
      </c>
      <c r="C106" s="3"/>
      <c r="D106" s="3"/>
      <c r="E106" s="3"/>
      <c r="F106" s="3"/>
      <c r="G106" s="22" t="s">
        <v>90</v>
      </c>
      <c r="H106" s="22"/>
      <c r="I106" s="22"/>
      <c r="J106" s="22"/>
      <c r="K106" s="22"/>
      <c r="L106" s="22"/>
      <c r="M106" s="22"/>
      <c r="N106" s="22"/>
      <c r="O106" s="22" t="s">
        <v>462</v>
      </c>
      <c r="P106" s="22"/>
      <c r="Q106" s="22"/>
      <c r="R106" s="22"/>
      <c r="S106" s="22"/>
      <c r="T106" s="22"/>
      <c r="U106" s="22" t="s">
        <v>463</v>
      </c>
      <c r="V106" s="22"/>
      <c r="W106" s="22"/>
      <c r="X106" s="22"/>
      <c r="Y106" s="22"/>
      <c r="Z106" s="22"/>
      <c r="AA106" s="3"/>
      <c r="AB106" s="3"/>
      <c r="AC106" s="3" t="s">
        <v>85</v>
      </c>
      <c r="AD106" s="3"/>
    </row>
    <row r="107" spans="2:31" x14ac:dyDescent="0.25">
      <c r="B107" s="3" t="s">
        <v>466</v>
      </c>
      <c r="C107" s="3"/>
      <c r="D107" s="3"/>
      <c r="E107" s="3"/>
      <c r="F107" s="3"/>
      <c r="G107" s="22" t="s">
        <v>91</v>
      </c>
      <c r="H107" s="22"/>
      <c r="I107" s="22"/>
      <c r="J107" s="22"/>
      <c r="K107" s="22"/>
      <c r="L107" s="22"/>
      <c r="M107" s="22"/>
      <c r="N107" s="22"/>
      <c r="O107" s="22" t="s">
        <v>94</v>
      </c>
      <c r="P107" s="22"/>
      <c r="Q107" s="22"/>
      <c r="R107" s="22"/>
      <c r="S107" s="22"/>
      <c r="T107" s="22"/>
      <c r="U107" s="22" t="s">
        <v>97</v>
      </c>
      <c r="V107" s="22"/>
      <c r="W107" s="22"/>
      <c r="X107" s="22"/>
      <c r="Y107" s="22"/>
      <c r="Z107" s="22"/>
      <c r="AA107" s="3"/>
      <c r="AB107" s="3"/>
      <c r="AC107" s="3" t="s">
        <v>99</v>
      </c>
      <c r="AD107" s="3"/>
    </row>
    <row r="108" spans="2:31" x14ac:dyDescent="0.25">
      <c r="B108" s="3" t="s">
        <v>89</v>
      </c>
      <c r="C108" s="3"/>
      <c r="D108" s="3"/>
      <c r="E108" s="3"/>
      <c r="F108" s="3"/>
      <c r="G108" s="22" t="s">
        <v>92</v>
      </c>
      <c r="H108" s="22"/>
      <c r="I108" s="22"/>
      <c r="J108" s="22"/>
      <c r="K108" s="22"/>
      <c r="L108" s="22"/>
      <c r="M108" s="22"/>
      <c r="N108" s="22"/>
      <c r="O108" s="22" t="s">
        <v>95</v>
      </c>
      <c r="P108" s="22"/>
      <c r="Q108" s="22"/>
      <c r="R108" s="22"/>
      <c r="S108" s="22"/>
      <c r="T108" s="22"/>
      <c r="U108" s="22" t="s">
        <v>98</v>
      </c>
      <c r="V108" s="22"/>
      <c r="W108" s="22"/>
      <c r="X108" s="22"/>
      <c r="Y108" s="22"/>
      <c r="Z108" s="22"/>
      <c r="AA108" s="3"/>
    </row>
    <row r="113" spans="2:30" ht="15.6" x14ac:dyDescent="0.3">
      <c r="C113" s="15" t="s">
        <v>494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 t="s">
        <v>467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 t="s">
        <v>456</v>
      </c>
      <c r="AD113" s="6"/>
    </row>
    <row r="114" spans="2:30" ht="15.6" x14ac:dyDescent="0.3">
      <c r="C114" s="15" t="s">
        <v>81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 t="s">
        <v>100</v>
      </c>
      <c r="AD114" s="5"/>
    </row>
    <row r="115" spans="2:30" ht="15.6" x14ac:dyDescent="0.3">
      <c r="C115" s="15" t="s">
        <v>459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5" t="s">
        <v>644</v>
      </c>
      <c r="AD115" s="5"/>
    </row>
    <row r="116" spans="2:30" ht="15.6" x14ac:dyDescent="0.3">
      <c r="C116" s="15" t="s">
        <v>460</v>
      </c>
      <c r="D116" s="6"/>
      <c r="E116" s="6"/>
      <c r="F116" s="6"/>
      <c r="G116" s="6"/>
      <c r="H116" s="6"/>
      <c r="I116" s="6"/>
      <c r="J116" s="6"/>
      <c r="K116" s="6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5" t="s">
        <v>421</v>
      </c>
      <c r="AD116" s="5"/>
    </row>
    <row r="117" spans="2:30" ht="15.6" x14ac:dyDescent="0.3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5" t="s">
        <v>157</v>
      </c>
      <c r="AD117" s="5"/>
    </row>
    <row r="118" spans="2:30" ht="15.6" x14ac:dyDescent="0.3">
      <c r="C118" s="6"/>
      <c r="D118" s="5" t="s">
        <v>519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5"/>
      <c r="AD118" s="5"/>
    </row>
    <row r="119" spans="2:30" ht="15.6" x14ac:dyDescent="0.3">
      <c r="B119" s="57" t="s">
        <v>0</v>
      </c>
      <c r="C119" s="66" t="s">
        <v>469</v>
      </c>
      <c r="D119" s="60" t="s">
        <v>458</v>
      </c>
      <c r="E119" s="61"/>
      <c r="F119" s="62"/>
      <c r="G119" s="60" t="s">
        <v>1</v>
      </c>
      <c r="H119" s="61"/>
      <c r="I119" s="62"/>
      <c r="J119" s="60" t="s">
        <v>2</v>
      </c>
      <c r="K119" s="61"/>
      <c r="L119" s="62"/>
      <c r="M119" s="60" t="s">
        <v>8</v>
      </c>
      <c r="N119" s="61"/>
      <c r="O119" s="62"/>
      <c r="P119" s="60" t="s">
        <v>3</v>
      </c>
      <c r="Q119" s="61"/>
      <c r="R119" s="62"/>
      <c r="S119" s="31"/>
      <c r="T119" s="31" t="s">
        <v>4</v>
      </c>
      <c r="U119" s="31"/>
      <c r="V119" s="60" t="s">
        <v>5</v>
      </c>
      <c r="W119" s="61"/>
      <c r="X119" s="62"/>
      <c r="Y119" s="57" t="s">
        <v>16</v>
      </c>
      <c r="Z119" s="57" t="s">
        <v>17</v>
      </c>
      <c r="AA119" s="57" t="s">
        <v>18</v>
      </c>
      <c r="AB119" s="57" t="s">
        <v>19</v>
      </c>
      <c r="AC119" s="57" t="s">
        <v>20</v>
      </c>
      <c r="AD119" s="57" t="s">
        <v>21</v>
      </c>
    </row>
    <row r="120" spans="2:30" ht="55.2" x14ac:dyDescent="0.25">
      <c r="B120" s="58"/>
      <c r="C120" s="67"/>
      <c r="D120" s="32" t="s">
        <v>6</v>
      </c>
      <c r="E120" s="32" t="s">
        <v>461</v>
      </c>
      <c r="F120" s="32" t="s">
        <v>7</v>
      </c>
      <c r="G120" s="32" t="s">
        <v>6</v>
      </c>
      <c r="H120" s="32" t="s">
        <v>461</v>
      </c>
      <c r="I120" s="32" t="s">
        <v>7</v>
      </c>
      <c r="J120" s="32" t="s">
        <v>6</v>
      </c>
      <c r="K120" s="32" t="s">
        <v>461</v>
      </c>
      <c r="L120" s="32" t="s">
        <v>7</v>
      </c>
      <c r="M120" s="32" t="s">
        <v>6</v>
      </c>
      <c r="N120" s="32" t="s">
        <v>461</v>
      </c>
      <c r="O120" s="32" t="s">
        <v>7</v>
      </c>
      <c r="P120" s="32" t="s">
        <v>6</v>
      </c>
      <c r="Q120" s="32" t="s">
        <v>461</v>
      </c>
      <c r="R120" s="32" t="s">
        <v>7</v>
      </c>
      <c r="S120" s="32" t="s">
        <v>6</v>
      </c>
      <c r="T120" s="32" t="s">
        <v>461</v>
      </c>
      <c r="U120" s="32" t="s">
        <v>7</v>
      </c>
      <c r="V120" s="32" t="s">
        <v>6</v>
      </c>
      <c r="W120" s="32" t="s">
        <v>461</v>
      </c>
      <c r="X120" s="32" t="s">
        <v>7</v>
      </c>
      <c r="Y120" s="58"/>
      <c r="Z120" s="58"/>
      <c r="AA120" s="58"/>
      <c r="AB120" s="58"/>
      <c r="AC120" s="58"/>
      <c r="AD120" s="58"/>
    </row>
    <row r="121" spans="2:30" ht="15.6" x14ac:dyDescent="0.3">
      <c r="B121" s="59"/>
      <c r="C121" s="68"/>
      <c r="D121" s="33">
        <v>50</v>
      </c>
      <c r="E121" s="33">
        <v>50</v>
      </c>
      <c r="F121" s="33">
        <v>100</v>
      </c>
      <c r="G121" s="33">
        <v>50</v>
      </c>
      <c r="H121" s="33">
        <v>50</v>
      </c>
      <c r="I121" s="33">
        <v>100</v>
      </c>
      <c r="J121" s="33">
        <v>50</v>
      </c>
      <c r="K121" s="33">
        <v>50</v>
      </c>
      <c r="L121" s="33">
        <v>100</v>
      </c>
      <c r="M121" s="33">
        <v>50</v>
      </c>
      <c r="N121" s="33">
        <v>50</v>
      </c>
      <c r="O121" s="33">
        <v>100</v>
      </c>
      <c r="P121" s="33">
        <v>50</v>
      </c>
      <c r="Q121" s="33">
        <v>50</v>
      </c>
      <c r="R121" s="33">
        <v>100</v>
      </c>
      <c r="S121" s="33">
        <v>50</v>
      </c>
      <c r="T121" s="33">
        <v>50</v>
      </c>
      <c r="U121" s="33">
        <v>100</v>
      </c>
      <c r="V121" s="33">
        <v>50</v>
      </c>
      <c r="W121" s="33">
        <v>50</v>
      </c>
      <c r="X121" s="33">
        <v>100</v>
      </c>
      <c r="Y121" s="59"/>
      <c r="Z121" s="59"/>
      <c r="AA121" s="59"/>
      <c r="AB121" s="59"/>
      <c r="AC121" s="59"/>
      <c r="AD121" s="59"/>
    </row>
    <row r="122" spans="2:30" ht="15.6" x14ac:dyDescent="0.3">
      <c r="B122" s="26">
        <v>21</v>
      </c>
      <c r="C122" s="27" t="s">
        <v>200</v>
      </c>
      <c r="D122" s="26">
        <v>50</v>
      </c>
      <c r="E122" s="26">
        <v>50</v>
      </c>
      <c r="F122" s="33">
        <f t="shared" ref="F122:F141" si="25">SUM(D122:E122)</f>
        <v>100</v>
      </c>
      <c r="G122" s="26">
        <v>50</v>
      </c>
      <c r="H122" s="26">
        <v>50</v>
      </c>
      <c r="I122" s="33">
        <f t="shared" ref="I122:I141" si="26">SUM(G122:H122)</f>
        <v>100</v>
      </c>
      <c r="J122" s="26">
        <v>49</v>
      </c>
      <c r="K122" s="26">
        <v>49</v>
      </c>
      <c r="L122" s="33">
        <f t="shared" ref="L122:L141" si="27">SUM(J122:K122)</f>
        <v>98</v>
      </c>
      <c r="M122" s="26">
        <v>50</v>
      </c>
      <c r="N122" s="26">
        <v>50</v>
      </c>
      <c r="O122" s="33">
        <f t="shared" ref="O122:O141" si="28">SUM(M122:N122)</f>
        <v>100</v>
      </c>
      <c r="P122" s="26">
        <v>50</v>
      </c>
      <c r="Q122" s="26">
        <v>45</v>
      </c>
      <c r="R122" s="33">
        <f t="shared" ref="R122:R141" si="29">SUM(P122:Q122)</f>
        <v>95</v>
      </c>
      <c r="S122" s="26">
        <v>50</v>
      </c>
      <c r="T122" s="26">
        <v>50</v>
      </c>
      <c r="U122" s="33">
        <f t="shared" ref="U122:U141" si="30">SUM(S122:T122)</f>
        <v>100</v>
      </c>
      <c r="V122" s="26">
        <v>50</v>
      </c>
      <c r="W122" s="26">
        <v>50</v>
      </c>
      <c r="X122" s="33">
        <f t="shared" ref="X122:X141" si="31">SUM(V122:W122)</f>
        <v>100</v>
      </c>
      <c r="Y122" s="26"/>
      <c r="Z122" s="26"/>
      <c r="AA122" s="26"/>
      <c r="AB122" s="33">
        <f t="shared" ref="AB122:AB141" si="32">SUM(X122,U122,R122,O122,L122,I122,F122)</f>
        <v>693</v>
      </c>
      <c r="AC122" s="26" t="s">
        <v>117</v>
      </c>
      <c r="AD122" s="29"/>
    </row>
    <row r="123" spans="2:30" ht="15.6" x14ac:dyDescent="0.3">
      <c r="B123" s="26">
        <v>22</v>
      </c>
      <c r="C123" s="27" t="s">
        <v>201</v>
      </c>
      <c r="D123" s="26">
        <v>50</v>
      </c>
      <c r="E123" s="26">
        <v>50</v>
      </c>
      <c r="F123" s="33">
        <f t="shared" si="25"/>
        <v>100</v>
      </c>
      <c r="G123" s="26">
        <v>49</v>
      </c>
      <c r="H123" s="26">
        <v>50</v>
      </c>
      <c r="I123" s="33">
        <f t="shared" si="26"/>
        <v>99</v>
      </c>
      <c r="J123" s="26">
        <v>50</v>
      </c>
      <c r="K123" s="26">
        <v>50</v>
      </c>
      <c r="L123" s="33">
        <f t="shared" si="27"/>
        <v>100</v>
      </c>
      <c r="M123" s="26">
        <v>50</v>
      </c>
      <c r="N123" s="26">
        <v>50</v>
      </c>
      <c r="O123" s="33">
        <f t="shared" si="28"/>
        <v>100</v>
      </c>
      <c r="P123" s="26">
        <v>50</v>
      </c>
      <c r="Q123" s="26">
        <v>50</v>
      </c>
      <c r="R123" s="33">
        <f t="shared" si="29"/>
        <v>100</v>
      </c>
      <c r="S123" s="26">
        <v>50</v>
      </c>
      <c r="T123" s="26">
        <v>50</v>
      </c>
      <c r="U123" s="33">
        <f t="shared" si="30"/>
        <v>100</v>
      </c>
      <c r="V123" s="26">
        <v>50</v>
      </c>
      <c r="W123" s="26">
        <v>50</v>
      </c>
      <c r="X123" s="33">
        <f t="shared" si="31"/>
        <v>100</v>
      </c>
      <c r="Y123" s="26"/>
      <c r="Z123" s="26"/>
      <c r="AA123" s="26"/>
      <c r="AB123" s="33">
        <f t="shared" si="32"/>
        <v>699</v>
      </c>
      <c r="AC123" s="26" t="s">
        <v>117</v>
      </c>
      <c r="AD123" s="29"/>
    </row>
    <row r="124" spans="2:30" ht="15.6" x14ac:dyDescent="0.3">
      <c r="B124" s="26">
        <v>23</v>
      </c>
      <c r="C124" s="27" t="s">
        <v>202</v>
      </c>
      <c r="D124" s="26">
        <v>28</v>
      </c>
      <c r="E124" s="26">
        <v>31</v>
      </c>
      <c r="F124" s="33">
        <f t="shared" si="25"/>
        <v>59</v>
      </c>
      <c r="G124" s="26">
        <v>33</v>
      </c>
      <c r="H124" s="26">
        <v>35</v>
      </c>
      <c r="I124" s="33">
        <f t="shared" si="26"/>
        <v>68</v>
      </c>
      <c r="J124" s="26">
        <v>36</v>
      </c>
      <c r="K124" s="26">
        <v>28</v>
      </c>
      <c r="L124" s="33">
        <f t="shared" si="27"/>
        <v>64</v>
      </c>
      <c r="M124" s="26">
        <v>25</v>
      </c>
      <c r="N124" s="26">
        <v>28</v>
      </c>
      <c r="O124" s="33">
        <f t="shared" si="28"/>
        <v>53</v>
      </c>
      <c r="P124" s="26">
        <v>38</v>
      </c>
      <c r="Q124" s="26">
        <v>30</v>
      </c>
      <c r="R124" s="33">
        <f t="shared" si="29"/>
        <v>68</v>
      </c>
      <c r="S124" s="26">
        <v>25</v>
      </c>
      <c r="T124" s="26">
        <v>43</v>
      </c>
      <c r="U124" s="33">
        <f t="shared" si="30"/>
        <v>68</v>
      </c>
      <c r="V124" s="26">
        <v>34</v>
      </c>
      <c r="W124" s="26">
        <v>32</v>
      </c>
      <c r="X124" s="33">
        <f t="shared" si="31"/>
        <v>66</v>
      </c>
      <c r="Y124" s="26"/>
      <c r="Z124" s="26"/>
      <c r="AA124" s="26"/>
      <c r="AB124" s="33">
        <f t="shared" si="32"/>
        <v>446</v>
      </c>
      <c r="AC124" s="26" t="s">
        <v>117</v>
      </c>
      <c r="AD124" s="29"/>
    </row>
    <row r="125" spans="2:30" ht="15.6" x14ac:dyDescent="0.3">
      <c r="B125" s="26">
        <v>24</v>
      </c>
      <c r="C125" s="27" t="s">
        <v>203</v>
      </c>
      <c r="D125" s="26">
        <v>48</v>
      </c>
      <c r="E125" s="26">
        <v>50</v>
      </c>
      <c r="F125" s="33">
        <f t="shared" si="25"/>
        <v>98</v>
      </c>
      <c r="G125" s="26">
        <v>49</v>
      </c>
      <c r="H125" s="26">
        <v>44</v>
      </c>
      <c r="I125" s="33">
        <f t="shared" si="26"/>
        <v>93</v>
      </c>
      <c r="J125" s="26">
        <v>48</v>
      </c>
      <c r="K125" s="26">
        <v>49</v>
      </c>
      <c r="L125" s="33">
        <f t="shared" si="27"/>
        <v>97</v>
      </c>
      <c r="M125" s="26">
        <v>49</v>
      </c>
      <c r="N125" s="26">
        <v>50</v>
      </c>
      <c r="O125" s="33">
        <f t="shared" si="28"/>
        <v>99</v>
      </c>
      <c r="P125" s="26">
        <v>43</v>
      </c>
      <c r="Q125" s="26">
        <v>35</v>
      </c>
      <c r="R125" s="33">
        <f t="shared" si="29"/>
        <v>78</v>
      </c>
      <c r="S125" s="26">
        <v>50</v>
      </c>
      <c r="T125" s="26">
        <v>49</v>
      </c>
      <c r="U125" s="33">
        <f t="shared" si="30"/>
        <v>99</v>
      </c>
      <c r="V125" s="26">
        <v>47</v>
      </c>
      <c r="W125" s="26">
        <v>47</v>
      </c>
      <c r="X125" s="33">
        <f t="shared" si="31"/>
        <v>94</v>
      </c>
      <c r="Y125" s="26"/>
      <c r="Z125" s="26"/>
      <c r="AA125" s="26"/>
      <c r="AB125" s="33">
        <f t="shared" si="32"/>
        <v>658</v>
      </c>
      <c r="AC125" s="26" t="s">
        <v>117</v>
      </c>
      <c r="AD125" s="29"/>
    </row>
    <row r="126" spans="2:30" ht="15.6" x14ac:dyDescent="0.3">
      <c r="B126" s="26">
        <v>25</v>
      </c>
      <c r="C126" s="27" t="s">
        <v>586</v>
      </c>
      <c r="D126" s="26">
        <v>33</v>
      </c>
      <c r="E126" s="26">
        <v>37</v>
      </c>
      <c r="F126" s="33">
        <f t="shared" si="25"/>
        <v>70</v>
      </c>
      <c r="G126" s="26">
        <v>19</v>
      </c>
      <c r="H126" s="26">
        <v>36</v>
      </c>
      <c r="I126" s="33">
        <f t="shared" si="26"/>
        <v>55</v>
      </c>
      <c r="J126" s="26">
        <v>28</v>
      </c>
      <c r="K126" s="26">
        <v>34</v>
      </c>
      <c r="L126" s="33">
        <f t="shared" si="27"/>
        <v>62</v>
      </c>
      <c r="M126" s="26">
        <v>48</v>
      </c>
      <c r="N126" s="26">
        <v>48</v>
      </c>
      <c r="O126" s="33">
        <f t="shared" si="28"/>
        <v>96</v>
      </c>
      <c r="P126" s="26">
        <v>28</v>
      </c>
      <c r="Q126" s="26">
        <v>32</v>
      </c>
      <c r="R126" s="33">
        <f t="shared" si="29"/>
        <v>60</v>
      </c>
      <c r="S126" s="26">
        <v>17</v>
      </c>
      <c r="T126" s="26">
        <v>36</v>
      </c>
      <c r="U126" s="33">
        <f t="shared" si="30"/>
        <v>53</v>
      </c>
      <c r="V126" s="26">
        <v>31</v>
      </c>
      <c r="W126" s="26">
        <v>39</v>
      </c>
      <c r="X126" s="33">
        <f t="shared" si="31"/>
        <v>70</v>
      </c>
      <c r="Y126" s="26"/>
      <c r="Z126" s="26"/>
      <c r="AA126" s="26"/>
      <c r="AB126" s="33">
        <f t="shared" si="32"/>
        <v>466</v>
      </c>
      <c r="AC126" s="26" t="s">
        <v>117</v>
      </c>
      <c r="AD126" s="29"/>
    </row>
    <row r="127" spans="2:30" ht="15.6" x14ac:dyDescent="0.3">
      <c r="B127" s="26">
        <v>26</v>
      </c>
      <c r="C127" s="27" t="s">
        <v>204</v>
      </c>
      <c r="D127" s="26">
        <v>50</v>
      </c>
      <c r="E127" s="26">
        <v>50</v>
      </c>
      <c r="F127" s="33">
        <f t="shared" si="25"/>
        <v>100</v>
      </c>
      <c r="G127" s="26">
        <v>47</v>
      </c>
      <c r="H127" s="26">
        <v>50</v>
      </c>
      <c r="I127" s="33">
        <f t="shared" si="26"/>
        <v>97</v>
      </c>
      <c r="J127" s="26">
        <v>49</v>
      </c>
      <c r="K127" s="26">
        <v>47</v>
      </c>
      <c r="L127" s="33">
        <f t="shared" si="27"/>
        <v>96</v>
      </c>
      <c r="M127" s="26">
        <v>49</v>
      </c>
      <c r="N127" s="26">
        <v>50</v>
      </c>
      <c r="O127" s="33">
        <f t="shared" si="28"/>
        <v>99</v>
      </c>
      <c r="P127" s="26">
        <v>48</v>
      </c>
      <c r="Q127" s="26">
        <v>48</v>
      </c>
      <c r="R127" s="33">
        <f t="shared" si="29"/>
        <v>96</v>
      </c>
      <c r="S127" s="26">
        <v>47</v>
      </c>
      <c r="T127" s="26">
        <v>50</v>
      </c>
      <c r="U127" s="33">
        <f t="shared" si="30"/>
        <v>97</v>
      </c>
      <c r="V127" s="26">
        <v>48</v>
      </c>
      <c r="W127" s="26">
        <v>49</v>
      </c>
      <c r="X127" s="33">
        <f t="shared" si="31"/>
        <v>97</v>
      </c>
      <c r="Y127" s="26"/>
      <c r="Z127" s="26"/>
      <c r="AA127" s="26"/>
      <c r="AB127" s="33">
        <f t="shared" si="32"/>
        <v>682</v>
      </c>
      <c r="AC127" s="26" t="s">
        <v>117</v>
      </c>
      <c r="AD127" s="29"/>
    </row>
    <row r="128" spans="2:30" ht="15.6" x14ac:dyDescent="0.3">
      <c r="B128" s="26">
        <v>27</v>
      </c>
      <c r="C128" s="27" t="s">
        <v>205</v>
      </c>
      <c r="D128" s="26">
        <v>50</v>
      </c>
      <c r="E128" s="26">
        <v>50</v>
      </c>
      <c r="F128" s="33">
        <f t="shared" si="25"/>
        <v>100</v>
      </c>
      <c r="G128" s="26">
        <v>49</v>
      </c>
      <c r="H128" s="26">
        <v>50</v>
      </c>
      <c r="I128" s="33">
        <f t="shared" si="26"/>
        <v>99</v>
      </c>
      <c r="J128" s="26">
        <v>47</v>
      </c>
      <c r="K128" s="26">
        <v>50</v>
      </c>
      <c r="L128" s="33">
        <f t="shared" si="27"/>
        <v>97</v>
      </c>
      <c r="M128" s="26">
        <v>50</v>
      </c>
      <c r="N128" s="26">
        <v>50</v>
      </c>
      <c r="O128" s="33">
        <f t="shared" si="28"/>
        <v>100</v>
      </c>
      <c r="P128" s="26">
        <v>49</v>
      </c>
      <c r="Q128" s="26">
        <v>47</v>
      </c>
      <c r="R128" s="33">
        <f t="shared" si="29"/>
        <v>96</v>
      </c>
      <c r="S128" s="26">
        <v>50</v>
      </c>
      <c r="T128" s="26">
        <v>50</v>
      </c>
      <c r="U128" s="33">
        <f t="shared" si="30"/>
        <v>100</v>
      </c>
      <c r="V128" s="26">
        <v>46</v>
      </c>
      <c r="W128" s="26">
        <v>50</v>
      </c>
      <c r="X128" s="33">
        <f t="shared" si="31"/>
        <v>96</v>
      </c>
      <c r="Y128" s="26"/>
      <c r="Z128" s="26"/>
      <c r="AA128" s="26"/>
      <c r="AB128" s="33">
        <f t="shared" si="32"/>
        <v>688</v>
      </c>
      <c r="AC128" s="26" t="s">
        <v>117</v>
      </c>
      <c r="AD128" s="29"/>
    </row>
    <row r="129" spans="2:30" ht="15.6" x14ac:dyDescent="0.3">
      <c r="B129" s="26">
        <v>28</v>
      </c>
      <c r="C129" s="27" t="s">
        <v>206</v>
      </c>
      <c r="D129" s="26">
        <v>46</v>
      </c>
      <c r="E129" s="26">
        <v>42</v>
      </c>
      <c r="F129" s="33">
        <f t="shared" si="25"/>
        <v>88</v>
      </c>
      <c r="G129" s="26">
        <v>25</v>
      </c>
      <c r="H129" s="26">
        <v>30</v>
      </c>
      <c r="I129" s="33">
        <f t="shared" si="26"/>
        <v>55</v>
      </c>
      <c r="J129" s="26">
        <v>27</v>
      </c>
      <c r="K129" s="26">
        <v>41</v>
      </c>
      <c r="L129" s="33">
        <f t="shared" si="27"/>
        <v>68</v>
      </c>
      <c r="M129" s="26">
        <v>43</v>
      </c>
      <c r="N129" s="26">
        <v>47</v>
      </c>
      <c r="O129" s="33">
        <f t="shared" si="28"/>
        <v>90</v>
      </c>
      <c r="P129" s="26">
        <v>37</v>
      </c>
      <c r="Q129" s="26">
        <v>42</v>
      </c>
      <c r="R129" s="33">
        <f t="shared" si="29"/>
        <v>79</v>
      </c>
      <c r="S129" s="26">
        <v>38</v>
      </c>
      <c r="T129" s="26">
        <v>48</v>
      </c>
      <c r="U129" s="33">
        <f t="shared" si="30"/>
        <v>86</v>
      </c>
      <c r="V129" s="26">
        <v>34</v>
      </c>
      <c r="W129" s="26">
        <v>43</v>
      </c>
      <c r="X129" s="33">
        <f t="shared" si="31"/>
        <v>77</v>
      </c>
      <c r="Y129" s="26"/>
      <c r="Z129" s="26"/>
      <c r="AA129" s="26"/>
      <c r="AB129" s="33">
        <f t="shared" si="32"/>
        <v>543</v>
      </c>
      <c r="AC129" s="26" t="s">
        <v>117</v>
      </c>
      <c r="AD129" s="29"/>
    </row>
    <row r="130" spans="2:30" ht="15.6" x14ac:dyDescent="0.3">
      <c r="B130" s="26">
        <v>29</v>
      </c>
      <c r="C130" s="27" t="s">
        <v>207</v>
      </c>
      <c r="D130" s="26">
        <v>40</v>
      </c>
      <c r="E130" s="26">
        <v>35</v>
      </c>
      <c r="F130" s="33">
        <f t="shared" si="25"/>
        <v>75</v>
      </c>
      <c r="G130" s="26">
        <v>35</v>
      </c>
      <c r="H130" s="26">
        <v>31</v>
      </c>
      <c r="I130" s="33">
        <f t="shared" si="26"/>
        <v>66</v>
      </c>
      <c r="J130" s="26">
        <v>35</v>
      </c>
      <c r="K130" s="26">
        <v>41</v>
      </c>
      <c r="L130" s="33">
        <f t="shared" si="27"/>
        <v>76</v>
      </c>
      <c r="M130" s="26">
        <v>38</v>
      </c>
      <c r="N130" s="26">
        <v>30</v>
      </c>
      <c r="O130" s="33">
        <f t="shared" si="28"/>
        <v>68</v>
      </c>
      <c r="P130" s="26">
        <v>34</v>
      </c>
      <c r="Q130" s="26">
        <v>31</v>
      </c>
      <c r="R130" s="33">
        <f t="shared" si="29"/>
        <v>65</v>
      </c>
      <c r="S130" s="26">
        <v>37</v>
      </c>
      <c r="T130" s="26">
        <v>35</v>
      </c>
      <c r="U130" s="33">
        <f t="shared" si="30"/>
        <v>72</v>
      </c>
      <c r="V130" s="26">
        <v>37</v>
      </c>
      <c r="W130" s="26">
        <v>34</v>
      </c>
      <c r="X130" s="33">
        <f t="shared" si="31"/>
        <v>71</v>
      </c>
      <c r="Y130" s="26"/>
      <c r="Z130" s="26"/>
      <c r="AA130" s="26"/>
      <c r="AB130" s="33">
        <f t="shared" si="32"/>
        <v>493</v>
      </c>
      <c r="AC130" s="26" t="s">
        <v>117</v>
      </c>
      <c r="AD130" s="29"/>
    </row>
    <row r="131" spans="2:30" ht="15.6" x14ac:dyDescent="0.3">
      <c r="B131" s="26">
        <v>30</v>
      </c>
      <c r="C131" s="27" t="s">
        <v>208</v>
      </c>
      <c r="D131" s="26">
        <v>42</v>
      </c>
      <c r="E131" s="26">
        <v>40</v>
      </c>
      <c r="F131" s="33">
        <f t="shared" si="25"/>
        <v>82</v>
      </c>
      <c r="G131" s="26">
        <v>35</v>
      </c>
      <c r="H131" s="26">
        <v>42</v>
      </c>
      <c r="I131" s="33">
        <f t="shared" si="26"/>
        <v>77</v>
      </c>
      <c r="J131" s="26">
        <v>31</v>
      </c>
      <c r="K131" s="26">
        <v>39</v>
      </c>
      <c r="L131" s="33">
        <f t="shared" si="27"/>
        <v>70</v>
      </c>
      <c r="M131" s="26">
        <v>34</v>
      </c>
      <c r="N131" s="26">
        <v>40</v>
      </c>
      <c r="O131" s="33">
        <f t="shared" si="28"/>
        <v>74</v>
      </c>
      <c r="P131" s="26">
        <v>30</v>
      </c>
      <c r="Q131" s="26">
        <v>39</v>
      </c>
      <c r="R131" s="33">
        <f t="shared" si="29"/>
        <v>69</v>
      </c>
      <c r="S131" s="26">
        <v>39</v>
      </c>
      <c r="T131" s="26">
        <v>34</v>
      </c>
      <c r="U131" s="33">
        <f t="shared" si="30"/>
        <v>73</v>
      </c>
      <c r="V131" s="26">
        <v>36</v>
      </c>
      <c r="W131" s="26">
        <v>43</v>
      </c>
      <c r="X131" s="33">
        <f t="shared" si="31"/>
        <v>79</v>
      </c>
      <c r="Y131" s="26"/>
      <c r="Z131" s="26"/>
      <c r="AA131" s="26"/>
      <c r="AB131" s="33">
        <f t="shared" si="32"/>
        <v>524</v>
      </c>
      <c r="AC131" s="26" t="s">
        <v>117</v>
      </c>
      <c r="AD131" s="29"/>
    </row>
    <row r="132" spans="2:30" ht="15.6" x14ac:dyDescent="0.3">
      <c r="B132" s="26">
        <v>31</v>
      </c>
      <c r="C132" s="27" t="s">
        <v>209</v>
      </c>
      <c r="D132" s="26">
        <v>47</v>
      </c>
      <c r="E132" s="26">
        <v>42</v>
      </c>
      <c r="F132" s="33">
        <f t="shared" si="25"/>
        <v>89</v>
      </c>
      <c r="G132" s="26">
        <v>42</v>
      </c>
      <c r="H132" s="26">
        <v>38</v>
      </c>
      <c r="I132" s="33">
        <f t="shared" si="26"/>
        <v>80</v>
      </c>
      <c r="J132" s="26">
        <v>40</v>
      </c>
      <c r="K132" s="26">
        <v>44</v>
      </c>
      <c r="L132" s="33">
        <f t="shared" si="27"/>
        <v>84</v>
      </c>
      <c r="M132" s="26">
        <v>38</v>
      </c>
      <c r="N132" s="26">
        <v>37</v>
      </c>
      <c r="O132" s="33">
        <f t="shared" si="28"/>
        <v>75</v>
      </c>
      <c r="P132" s="26">
        <v>38</v>
      </c>
      <c r="Q132" s="26">
        <v>37</v>
      </c>
      <c r="R132" s="33">
        <f t="shared" si="29"/>
        <v>75</v>
      </c>
      <c r="S132" s="26">
        <v>40</v>
      </c>
      <c r="T132" s="26">
        <v>45</v>
      </c>
      <c r="U132" s="33">
        <f t="shared" si="30"/>
        <v>85</v>
      </c>
      <c r="V132" s="26">
        <v>36</v>
      </c>
      <c r="W132" s="26">
        <v>43</v>
      </c>
      <c r="X132" s="33">
        <f t="shared" si="31"/>
        <v>79</v>
      </c>
      <c r="Y132" s="26"/>
      <c r="Z132" s="26"/>
      <c r="AA132" s="26"/>
      <c r="AB132" s="33">
        <f t="shared" si="32"/>
        <v>567</v>
      </c>
      <c r="AC132" s="26" t="s">
        <v>117</v>
      </c>
      <c r="AD132" s="29"/>
    </row>
    <row r="133" spans="2:30" ht="15.6" x14ac:dyDescent="0.3">
      <c r="B133" s="26">
        <v>32</v>
      </c>
      <c r="C133" s="27" t="s">
        <v>531</v>
      </c>
      <c r="D133" s="26">
        <v>48</v>
      </c>
      <c r="E133" s="26">
        <v>50</v>
      </c>
      <c r="F133" s="33">
        <f t="shared" si="25"/>
        <v>98</v>
      </c>
      <c r="G133" s="26">
        <v>47</v>
      </c>
      <c r="H133" s="26">
        <v>49</v>
      </c>
      <c r="I133" s="33">
        <f t="shared" si="26"/>
        <v>96</v>
      </c>
      <c r="J133" s="26">
        <v>45</v>
      </c>
      <c r="K133" s="26">
        <v>50</v>
      </c>
      <c r="L133" s="33">
        <f t="shared" si="27"/>
        <v>95</v>
      </c>
      <c r="M133" s="26">
        <v>44</v>
      </c>
      <c r="N133" s="26">
        <v>46</v>
      </c>
      <c r="O133" s="33">
        <f t="shared" si="28"/>
        <v>90</v>
      </c>
      <c r="P133" s="26">
        <v>45</v>
      </c>
      <c r="Q133" s="26">
        <v>49</v>
      </c>
      <c r="R133" s="33">
        <f t="shared" si="29"/>
        <v>94</v>
      </c>
      <c r="S133" s="26">
        <v>49</v>
      </c>
      <c r="T133" s="26">
        <v>50</v>
      </c>
      <c r="U133" s="33">
        <f t="shared" si="30"/>
        <v>99</v>
      </c>
      <c r="V133" s="26">
        <v>41</v>
      </c>
      <c r="W133" s="26">
        <v>40</v>
      </c>
      <c r="X133" s="33">
        <f t="shared" si="31"/>
        <v>81</v>
      </c>
      <c r="Y133" s="26"/>
      <c r="Z133" s="26"/>
      <c r="AA133" s="26"/>
      <c r="AB133" s="33">
        <f t="shared" si="32"/>
        <v>653</v>
      </c>
      <c r="AC133" s="26" t="s">
        <v>117</v>
      </c>
      <c r="AD133" s="29"/>
    </row>
    <row r="134" spans="2:30" ht="15.6" x14ac:dyDescent="0.3">
      <c r="B134" s="26">
        <v>33</v>
      </c>
      <c r="C134" s="27" t="s">
        <v>210</v>
      </c>
      <c r="D134" s="26">
        <v>44</v>
      </c>
      <c r="E134" s="26">
        <v>35</v>
      </c>
      <c r="F134" s="33">
        <f t="shared" si="25"/>
        <v>79</v>
      </c>
      <c r="G134" s="26">
        <v>36</v>
      </c>
      <c r="H134" s="26">
        <v>41</v>
      </c>
      <c r="I134" s="33">
        <f t="shared" si="26"/>
        <v>77</v>
      </c>
      <c r="J134" s="26">
        <v>33</v>
      </c>
      <c r="K134" s="26">
        <v>36</v>
      </c>
      <c r="L134" s="33">
        <f t="shared" si="27"/>
        <v>69</v>
      </c>
      <c r="M134" s="26">
        <v>43</v>
      </c>
      <c r="N134" s="26">
        <v>31</v>
      </c>
      <c r="O134" s="33">
        <f t="shared" si="28"/>
        <v>74</v>
      </c>
      <c r="P134" s="26">
        <v>36</v>
      </c>
      <c r="Q134" s="26">
        <v>26</v>
      </c>
      <c r="R134" s="33">
        <f t="shared" si="29"/>
        <v>62</v>
      </c>
      <c r="S134" s="26">
        <v>39</v>
      </c>
      <c r="T134" s="26">
        <v>35</v>
      </c>
      <c r="U134" s="33">
        <f t="shared" si="30"/>
        <v>74</v>
      </c>
      <c r="V134" s="26">
        <v>35</v>
      </c>
      <c r="W134" s="26">
        <v>37</v>
      </c>
      <c r="X134" s="33">
        <f t="shared" si="31"/>
        <v>72</v>
      </c>
      <c r="Y134" s="26"/>
      <c r="Z134" s="26"/>
      <c r="AA134" s="26"/>
      <c r="AB134" s="33">
        <f t="shared" si="32"/>
        <v>507</v>
      </c>
      <c r="AC134" s="26" t="s">
        <v>117</v>
      </c>
      <c r="AD134" s="29"/>
    </row>
    <row r="135" spans="2:30" ht="15.6" x14ac:dyDescent="0.3">
      <c r="B135" s="26">
        <v>34</v>
      </c>
      <c r="C135" s="27" t="s">
        <v>453</v>
      </c>
      <c r="D135" s="26">
        <v>34</v>
      </c>
      <c r="E135" s="26">
        <v>25</v>
      </c>
      <c r="F135" s="33">
        <f t="shared" si="25"/>
        <v>59</v>
      </c>
      <c r="G135" s="26">
        <v>28</v>
      </c>
      <c r="H135" s="26">
        <v>29</v>
      </c>
      <c r="I135" s="33">
        <f t="shared" si="26"/>
        <v>57</v>
      </c>
      <c r="J135" s="26">
        <v>26</v>
      </c>
      <c r="K135" s="26">
        <v>27</v>
      </c>
      <c r="L135" s="33">
        <f t="shared" si="27"/>
        <v>53</v>
      </c>
      <c r="M135" s="26">
        <v>31</v>
      </c>
      <c r="N135" s="26">
        <v>25</v>
      </c>
      <c r="O135" s="33">
        <f t="shared" si="28"/>
        <v>56</v>
      </c>
      <c r="P135" s="26">
        <v>31</v>
      </c>
      <c r="Q135" s="26">
        <v>29</v>
      </c>
      <c r="R135" s="33">
        <f t="shared" si="29"/>
        <v>60</v>
      </c>
      <c r="S135" s="26">
        <v>25</v>
      </c>
      <c r="T135" s="26">
        <v>29</v>
      </c>
      <c r="U135" s="33">
        <f t="shared" si="30"/>
        <v>54</v>
      </c>
      <c r="V135" s="26">
        <v>27</v>
      </c>
      <c r="W135" s="26">
        <v>34</v>
      </c>
      <c r="X135" s="33">
        <f t="shared" si="31"/>
        <v>61</v>
      </c>
      <c r="Y135" s="26"/>
      <c r="Z135" s="26"/>
      <c r="AA135" s="26"/>
      <c r="AB135" s="33">
        <f t="shared" si="32"/>
        <v>400</v>
      </c>
      <c r="AC135" s="26" t="s">
        <v>117</v>
      </c>
      <c r="AD135" s="29"/>
    </row>
    <row r="136" spans="2:30" ht="15.6" x14ac:dyDescent="0.3">
      <c r="B136" s="26">
        <v>35</v>
      </c>
      <c r="C136" s="27" t="s">
        <v>483</v>
      </c>
      <c r="D136" s="26">
        <v>22</v>
      </c>
      <c r="E136" s="26">
        <v>26</v>
      </c>
      <c r="F136" s="33">
        <f t="shared" si="25"/>
        <v>50</v>
      </c>
      <c r="G136" s="26">
        <v>20</v>
      </c>
      <c r="H136" s="26">
        <v>33</v>
      </c>
      <c r="I136" s="33">
        <f t="shared" si="26"/>
        <v>53</v>
      </c>
      <c r="J136" s="26">
        <v>25</v>
      </c>
      <c r="K136" s="26">
        <v>25</v>
      </c>
      <c r="L136" s="33">
        <f t="shared" si="27"/>
        <v>50</v>
      </c>
      <c r="M136" s="26">
        <v>33</v>
      </c>
      <c r="N136" s="26">
        <v>26</v>
      </c>
      <c r="O136" s="33">
        <f t="shared" si="28"/>
        <v>59</v>
      </c>
      <c r="P136" s="26">
        <v>26</v>
      </c>
      <c r="Q136" s="26">
        <v>29</v>
      </c>
      <c r="R136" s="33">
        <f t="shared" si="29"/>
        <v>55</v>
      </c>
      <c r="S136" s="26">
        <v>19</v>
      </c>
      <c r="T136" s="26">
        <v>37</v>
      </c>
      <c r="U136" s="33">
        <f t="shared" si="30"/>
        <v>56</v>
      </c>
      <c r="V136" s="26">
        <v>31</v>
      </c>
      <c r="W136" s="26">
        <v>38</v>
      </c>
      <c r="X136" s="33">
        <f t="shared" si="31"/>
        <v>69</v>
      </c>
      <c r="Y136" s="26"/>
      <c r="Z136" s="26"/>
      <c r="AA136" s="26"/>
      <c r="AB136" s="33">
        <f t="shared" si="32"/>
        <v>392</v>
      </c>
      <c r="AC136" s="26" t="s">
        <v>117</v>
      </c>
      <c r="AD136" s="29"/>
    </row>
    <row r="137" spans="2:30" ht="15.6" x14ac:dyDescent="0.3">
      <c r="B137" s="26">
        <v>36</v>
      </c>
      <c r="C137" s="27" t="s">
        <v>587</v>
      </c>
      <c r="D137" s="26">
        <v>31</v>
      </c>
      <c r="E137" s="26">
        <v>34</v>
      </c>
      <c r="F137" s="33">
        <f t="shared" si="25"/>
        <v>65</v>
      </c>
      <c r="G137" s="26">
        <v>19</v>
      </c>
      <c r="H137" s="26">
        <v>32</v>
      </c>
      <c r="I137" s="33">
        <f t="shared" si="26"/>
        <v>51</v>
      </c>
      <c r="J137" s="26">
        <v>25</v>
      </c>
      <c r="K137" s="26">
        <v>26</v>
      </c>
      <c r="L137" s="33">
        <f t="shared" si="27"/>
        <v>51</v>
      </c>
      <c r="M137" s="26">
        <v>26</v>
      </c>
      <c r="N137" s="26">
        <v>25</v>
      </c>
      <c r="O137" s="33">
        <f t="shared" si="28"/>
        <v>51</v>
      </c>
      <c r="P137" s="26">
        <v>29</v>
      </c>
      <c r="Q137" s="26">
        <v>27</v>
      </c>
      <c r="R137" s="33">
        <f t="shared" si="29"/>
        <v>56</v>
      </c>
      <c r="S137" s="26">
        <v>14</v>
      </c>
      <c r="T137" s="26">
        <v>37</v>
      </c>
      <c r="U137" s="33">
        <f t="shared" si="30"/>
        <v>51</v>
      </c>
      <c r="V137" s="26">
        <v>33</v>
      </c>
      <c r="W137" s="26">
        <v>30</v>
      </c>
      <c r="X137" s="33">
        <f t="shared" si="31"/>
        <v>63</v>
      </c>
      <c r="Y137" s="26"/>
      <c r="Z137" s="26"/>
      <c r="AA137" s="26"/>
      <c r="AB137" s="33">
        <f t="shared" si="32"/>
        <v>388</v>
      </c>
      <c r="AC137" s="26" t="s">
        <v>117</v>
      </c>
      <c r="AD137" s="29"/>
    </row>
    <row r="138" spans="2:30" ht="15.6" x14ac:dyDescent="0.3">
      <c r="B138" s="26">
        <v>37</v>
      </c>
      <c r="C138" s="27" t="s">
        <v>588</v>
      </c>
      <c r="D138" s="26">
        <v>27</v>
      </c>
      <c r="E138" s="26">
        <v>34</v>
      </c>
      <c r="F138" s="33">
        <f t="shared" si="25"/>
        <v>61</v>
      </c>
      <c r="G138" s="26">
        <v>34</v>
      </c>
      <c r="H138" s="26">
        <v>32</v>
      </c>
      <c r="I138" s="33">
        <f t="shared" si="26"/>
        <v>66</v>
      </c>
      <c r="J138" s="26">
        <v>28</v>
      </c>
      <c r="K138" s="26">
        <v>26</v>
      </c>
      <c r="L138" s="33">
        <f t="shared" si="27"/>
        <v>54</v>
      </c>
      <c r="M138" s="26">
        <v>34</v>
      </c>
      <c r="N138" s="26">
        <v>30</v>
      </c>
      <c r="O138" s="33">
        <f t="shared" si="28"/>
        <v>64</v>
      </c>
      <c r="P138" s="26">
        <v>21</v>
      </c>
      <c r="Q138" s="26">
        <v>32</v>
      </c>
      <c r="R138" s="33">
        <f t="shared" si="29"/>
        <v>53</v>
      </c>
      <c r="S138" s="26">
        <v>34</v>
      </c>
      <c r="T138" s="26">
        <v>36</v>
      </c>
      <c r="U138" s="33">
        <f t="shared" si="30"/>
        <v>70</v>
      </c>
      <c r="V138" s="26">
        <v>23</v>
      </c>
      <c r="W138" s="26">
        <v>33</v>
      </c>
      <c r="X138" s="33">
        <f t="shared" si="31"/>
        <v>56</v>
      </c>
      <c r="Y138" s="26"/>
      <c r="Z138" s="26"/>
      <c r="AA138" s="26"/>
      <c r="AB138" s="33">
        <f t="shared" si="32"/>
        <v>424</v>
      </c>
      <c r="AC138" s="26" t="s">
        <v>117</v>
      </c>
      <c r="AD138" s="29"/>
    </row>
    <row r="139" spans="2:30" ht="15.6" x14ac:dyDescent="0.3">
      <c r="B139" s="26">
        <v>38</v>
      </c>
      <c r="C139" s="27" t="s">
        <v>589</v>
      </c>
      <c r="D139" s="26">
        <v>29</v>
      </c>
      <c r="E139" s="26">
        <v>30</v>
      </c>
      <c r="F139" s="33">
        <f t="shared" si="25"/>
        <v>59</v>
      </c>
      <c r="G139" s="26">
        <v>24</v>
      </c>
      <c r="H139" s="26">
        <v>30</v>
      </c>
      <c r="I139" s="33">
        <f t="shared" si="26"/>
        <v>54</v>
      </c>
      <c r="J139" s="26">
        <v>25</v>
      </c>
      <c r="K139" s="26">
        <v>26</v>
      </c>
      <c r="L139" s="33">
        <f t="shared" si="27"/>
        <v>51</v>
      </c>
      <c r="M139" s="26">
        <v>27</v>
      </c>
      <c r="N139" s="26">
        <v>25</v>
      </c>
      <c r="O139" s="33">
        <f t="shared" si="28"/>
        <v>52</v>
      </c>
      <c r="P139" s="26">
        <v>27</v>
      </c>
      <c r="Q139" s="26">
        <v>24</v>
      </c>
      <c r="R139" s="33">
        <f t="shared" si="29"/>
        <v>51</v>
      </c>
      <c r="S139" s="26">
        <v>28</v>
      </c>
      <c r="T139" s="26">
        <v>30</v>
      </c>
      <c r="U139" s="33">
        <f t="shared" si="30"/>
        <v>58</v>
      </c>
      <c r="V139" s="26">
        <v>23</v>
      </c>
      <c r="W139" s="26">
        <v>35</v>
      </c>
      <c r="X139" s="33">
        <f t="shared" si="31"/>
        <v>58</v>
      </c>
      <c r="Y139" s="26"/>
      <c r="Z139" s="26"/>
      <c r="AA139" s="26"/>
      <c r="AB139" s="33">
        <f t="shared" si="32"/>
        <v>383</v>
      </c>
      <c r="AC139" s="26" t="s">
        <v>117</v>
      </c>
      <c r="AD139" s="29"/>
    </row>
    <row r="140" spans="2:30" ht="15.6" x14ac:dyDescent="0.3">
      <c r="B140" s="26">
        <v>39</v>
      </c>
      <c r="C140" s="27" t="s">
        <v>590</v>
      </c>
      <c r="D140" s="26">
        <v>50</v>
      </c>
      <c r="E140" s="26">
        <v>48</v>
      </c>
      <c r="F140" s="33">
        <f t="shared" si="25"/>
        <v>98</v>
      </c>
      <c r="G140" s="26">
        <v>49</v>
      </c>
      <c r="H140" s="26">
        <v>50</v>
      </c>
      <c r="I140" s="33">
        <f t="shared" si="26"/>
        <v>99</v>
      </c>
      <c r="J140" s="26">
        <v>48</v>
      </c>
      <c r="K140" s="26">
        <v>50</v>
      </c>
      <c r="L140" s="33">
        <f t="shared" si="27"/>
        <v>98</v>
      </c>
      <c r="M140" s="26">
        <v>47</v>
      </c>
      <c r="N140" s="26">
        <v>45</v>
      </c>
      <c r="O140" s="33">
        <f t="shared" si="28"/>
        <v>92</v>
      </c>
      <c r="P140" s="26">
        <v>46</v>
      </c>
      <c r="Q140" s="26">
        <v>45</v>
      </c>
      <c r="R140" s="33">
        <f t="shared" si="29"/>
        <v>91</v>
      </c>
      <c r="S140" s="26">
        <v>50</v>
      </c>
      <c r="T140" s="26">
        <v>50</v>
      </c>
      <c r="U140" s="33">
        <f t="shared" si="30"/>
        <v>100</v>
      </c>
      <c r="V140" s="26">
        <v>46</v>
      </c>
      <c r="W140" s="26">
        <v>48</v>
      </c>
      <c r="X140" s="33">
        <f t="shared" si="31"/>
        <v>94</v>
      </c>
      <c r="Y140" s="26"/>
      <c r="Z140" s="26"/>
      <c r="AA140" s="26"/>
      <c r="AB140" s="33">
        <f t="shared" si="32"/>
        <v>672</v>
      </c>
      <c r="AC140" s="26" t="s">
        <v>117</v>
      </c>
      <c r="AD140" s="29"/>
    </row>
    <row r="141" spans="2:30" ht="15.6" x14ac:dyDescent="0.3">
      <c r="B141" s="26">
        <v>40</v>
      </c>
      <c r="C141" s="27" t="s">
        <v>591</v>
      </c>
      <c r="D141" s="26">
        <v>47</v>
      </c>
      <c r="E141" s="26">
        <v>45</v>
      </c>
      <c r="F141" s="33">
        <f t="shared" si="25"/>
        <v>92</v>
      </c>
      <c r="G141" s="26">
        <v>46</v>
      </c>
      <c r="H141" s="26">
        <v>38</v>
      </c>
      <c r="I141" s="33">
        <f t="shared" si="26"/>
        <v>84</v>
      </c>
      <c r="J141" s="26">
        <v>45</v>
      </c>
      <c r="K141" s="26">
        <v>44</v>
      </c>
      <c r="L141" s="33">
        <f t="shared" si="27"/>
        <v>89</v>
      </c>
      <c r="M141" s="26">
        <v>47</v>
      </c>
      <c r="N141" s="26">
        <v>40</v>
      </c>
      <c r="O141" s="33">
        <f t="shared" si="28"/>
        <v>87</v>
      </c>
      <c r="P141" s="26">
        <v>37</v>
      </c>
      <c r="Q141" s="26">
        <v>30</v>
      </c>
      <c r="R141" s="33">
        <f t="shared" si="29"/>
        <v>67</v>
      </c>
      <c r="S141" s="26">
        <v>44</v>
      </c>
      <c r="T141" s="26">
        <v>41</v>
      </c>
      <c r="U141" s="33">
        <f t="shared" si="30"/>
        <v>85</v>
      </c>
      <c r="V141" s="26">
        <v>41</v>
      </c>
      <c r="W141" s="26">
        <v>36</v>
      </c>
      <c r="X141" s="33">
        <f t="shared" si="31"/>
        <v>77</v>
      </c>
      <c r="Y141" s="26"/>
      <c r="Z141" s="26"/>
      <c r="AA141" s="26"/>
      <c r="AB141" s="33">
        <f t="shared" si="32"/>
        <v>581</v>
      </c>
      <c r="AC141" s="26" t="s">
        <v>117</v>
      </c>
      <c r="AD141" s="29"/>
    </row>
    <row r="142" spans="2:30" ht="15.6" x14ac:dyDescent="0.3">
      <c r="B142" s="3" t="s">
        <v>219</v>
      </c>
      <c r="C142" s="11"/>
      <c r="D142" s="8"/>
      <c r="E142" s="8"/>
      <c r="F142" s="8"/>
      <c r="G142" s="22"/>
      <c r="H142" s="22" t="s">
        <v>468</v>
      </c>
      <c r="I142" s="22"/>
      <c r="J142" s="22"/>
      <c r="K142" s="22"/>
      <c r="L142" s="22"/>
      <c r="M142" s="22"/>
      <c r="N142" s="22"/>
      <c r="O142" s="22"/>
      <c r="P142" s="22" t="s">
        <v>82</v>
      </c>
      <c r="Q142" s="22"/>
      <c r="R142" s="22"/>
      <c r="S142" s="22"/>
      <c r="T142" s="22"/>
      <c r="U142" s="22"/>
      <c r="V142" s="22" t="s">
        <v>83</v>
      </c>
      <c r="W142" s="22"/>
      <c r="X142" s="22"/>
      <c r="Y142" s="22"/>
      <c r="Z142" s="22"/>
      <c r="AA142" s="9"/>
      <c r="AB142" s="10"/>
      <c r="AC142" s="5" t="s">
        <v>84</v>
      </c>
      <c r="AD142" s="5"/>
    </row>
    <row r="143" spans="2:30" x14ac:dyDescent="0.25">
      <c r="B143" s="3" t="s">
        <v>89</v>
      </c>
      <c r="C143" s="3"/>
      <c r="D143" s="3"/>
      <c r="E143" s="3"/>
      <c r="F143" s="3"/>
      <c r="G143" s="22" t="s">
        <v>90</v>
      </c>
      <c r="H143" s="22"/>
      <c r="I143" s="22"/>
      <c r="J143" s="22"/>
      <c r="K143" s="22"/>
      <c r="L143" s="22"/>
      <c r="M143" s="22"/>
      <c r="N143" s="22"/>
      <c r="O143" s="22" t="s">
        <v>462</v>
      </c>
      <c r="P143" s="22"/>
      <c r="Q143" s="22"/>
      <c r="R143" s="22"/>
      <c r="S143" s="22"/>
      <c r="T143" s="22"/>
      <c r="U143" s="22" t="s">
        <v>463</v>
      </c>
      <c r="V143" s="22"/>
      <c r="W143" s="22"/>
      <c r="X143" s="22"/>
      <c r="Y143" s="22"/>
      <c r="Z143" s="22"/>
      <c r="AA143" s="3"/>
      <c r="AB143" s="3"/>
      <c r="AC143" s="3" t="s">
        <v>85</v>
      </c>
      <c r="AD143" s="3"/>
    </row>
    <row r="144" spans="2:30" x14ac:dyDescent="0.25">
      <c r="B144" s="3" t="s">
        <v>466</v>
      </c>
      <c r="C144" s="3"/>
      <c r="D144" s="3"/>
      <c r="E144" s="3"/>
      <c r="F144" s="3"/>
      <c r="G144" s="22" t="s">
        <v>91</v>
      </c>
      <c r="H144" s="22"/>
      <c r="I144" s="22"/>
      <c r="J144" s="22"/>
      <c r="K144" s="22"/>
      <c r="L144" s="22"/>
      <c r="M144" s="22"/>
      <c r="N144" s="22"/>
      <c r="O144" s="22" t="s">
        <v>94</v>
      </c>
      <c r="P144" s="22"/>
      <c r="Q144" s="22"/>
      <c r="R144" s="22"/>
      <c r="S144" s="22"/>
      <c r="T144" s="22"/>
      <c r="U144" s="22" t="s">
        <v>97</v>
      </c>
      <c r="V144" s="22"/>
      <c r="W144" s="22"/>
      <c r="X144" s="22"/>
      <c r="Y144" s="22"/>
      <c r="Z144" s="22"/>
      <c r="AA144" s="3"/>
      <c r="AB144" s="3"/>
      <c r="AC144" s="3" t="s">
        <v>99</v>
      </c>
      <c r="AD144" s="3"/>
    </row>
    <row r="145" spans="2:31" x14ac:dyDescent="0.25">
      <c r="B145" s="3" t="s">
        <v>89</v>
      </c>
      <c r="C145" s="3"/>
      <c r="D145" s="3"/>
      <c r="E145" s="3"/>
      <c r="F145" s="3"/>
      <c r="G145" s="22" t="s">
        <v>92</v>
      </c>
      <c r="H145" s="22"/>
      <c r="I145" s="22"/>
      <c r="J145" s="22"/>
      <c r="K145" s="22"/>
      <c r="L145" s="22"/>
      <c r="M145" s="22"/>
      <c r="N145" s="22"/>
      <c r="O145" s="22" t="s">
        <v>95</v>
      </c>
      <c r="P145" s="22"/>
      <c r="Q145" s="22"/>
      <c r="R145" s="22"/>
      <c r="S145" s="22"/>
      <c r="T145" s="22"/>
      <c r="U145" s="22" t="s">
        <v>98</v>
      </c>
      <c r="V145" s="22"/>
      <c r="W145" s="22"/>
      <c r="X145" s="22"/>
      <c r="Y145" s="22"/>
      <c r="Z145" s="22"/>
      <c r="AA145" s="3"/>
    </row>
    <row r="150" spans="2:31" ht="15.6" x14ac:dyDescent="0.3">
      <c r="C150" s="15" t="s">
        <v>494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 t="s">
        <v>467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 t="s">
        <v>456</v>
      </c>
      <c r="AD150" s="6"/>
      <c r="AE150" s="6"/>
    </row>
    <row r="151" spans="2:31" ht="15.6" x14ac:dyDescent="0.3">
      <c r="C151" s="15" t="s">
        <v>81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5" t="s">
        <v>100</v>
      </c>
      <c r="AD151" s="5"/>
      <c r="AE151" s="6"/>
    </row>
    <row r="152" spans="2:31" ht="15.6" x14ac:dyDescent="0.3">
      <c r="C152" s="15" t="s">
        <v>459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5" t="s">
        <v>644</v>
      </c>
      <c r="AD152" s="5"/>
      <c r="AE152" s="6"/>
    </row>
    <row r="153" spans="2:31" ht="15.6" x14ac:dyDescent="0.3">
      <c r="C153" s="15" t="s">
        <v>460</v>
      </c>
      <c r="D153" s="6"/>
      <c r="E153" s="6"/>
      <c r="F153" s="6"/>
      <c r="G153" s="6"/>
      <c r="H153" s="6"/>
      <c r="I153" s="6"/>
      <c r="J153" s="6"/>
      <c r="K153" s="6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5" t="s">
        <v>520</v>
      </c>
      <c r="AD153" s="5"/>
      <c r="AE153" s="6"/>
    </row>
    <row r="154" spans="2:31" ht="15.6" x14ac:dyDescent="0.3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5" t="s">
        <v>159</v>
      </c>
      <c r="AD154" s="5"/>
      <c r="AE154" s="6"/>
    </row>
    <row r="155" spans="2:31" ht="15.6" x14ac:dyDescent="0.3">
      <c r="C155" s="6"/>
      <c r="D155" s="5" t="s">
        <v>519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5"/>
      <c r="AD155" s="5"/>
      <c r="AE155" s="6"/>
    </row>
    <row r="156" spans="2:31" ht="15.6" x14ac:dyDescent="0.3">
      <c r="B156" s="57" t="s">
        <v>0</v>
      </c>
      <c r="C156" s="66" t="s">
        <v>469</v>
      </c>
      <c r="D156" s="60" t="s">
        <v>458</v>
      </c>
      <c r="E156" s="61"/>
      <c r="F156" s="62"/>
      <c r="G156" s="60" t="s">
        <v>1</v>
      </c>
      <c r="H156" s="61"/>
      <c r="I156" s="62"/>
      <c r="J156" s="60" t="s">
        <v>2</v>
      </c>
      <c r="K156" s="61"/>
      <c r="L156" s="62"/>
      <c r="M156" s="60" t="s">
        <v>8</v>
      </c>
      <c r="N156" s="61"/>
      <c r="O156" s="62"/>
      <c r="P156" s="60" t="s">
        <v>3</v>
      </c>
      <c r="Q156" s="61"/>
      <c r="R156" s="62"/>
      <c r="S156" s="31"/>
      <c r="T156" s="31" t="s">
        <v>4</v>
      </c>
      <c r="U156" s="31"/>
      <c r="V156" s="60" t="s">
        <v>5</v>
      </c>
      <c r="W156" s="61"/>
      <c r="X156" s="62"/>
      <c r="Y156" s="57" t="s">
        <v>16</v>
      </c>
      <c r="Z156" s="57" t="s">
        <v>17</v>
      </c>
      <c r="AA156" s="57" t="s">
        <v>18</v>
      </c>
      <c r="AB156" s="57" t="s">
        <v>19</v>
      </c>
      <c r="AC156" s="57" t="s">
        <v>20</v>
      </c>
      <c r="AD156" s="57" t="s">
        <v>21</v>
      </c>
    </row>
    <row r="157" spans="2:31" ht="55.2" x14ac:dyDescent="0.25">
      <c r="B157" s="58"/>
      <c r="C157" s="67"/>
      <c r="D157" s="32" t="s">
        <v>6</v>
      </c>
      <c r="E157" s="32" t="s">
        <v>461</v>
      </c>
      <c r="F157" s="32" t="s">
        <v>7</v>
      </c>
      <c r="G157" s="32" t="s">
        <v>6</v>
      </c>
      <c r="H157" s="32" t="s">
        <v>461</v>
      </c>
      <c r="I157" s="32" t="s">
        <v>7</v>
      </c>
      <c r="J157" s="32" t="s">
        <v>6</v>
      </c>
      <c r="K157" s="32" t="s">
        <v>461</v>
      </c>
      <c r="L157" s="32" t="s">
        <v>7</v>
      </c>
      <c r="M157" s="32" t="s">
        <v>6</v>
      </c>
      <c r="N157" s="32" t="s">
        <v>461</v>
      </c>
      <c r="O157" s="32" t="s">
        <v>7</v>
      </c>
      <c r="P157" s="32" t="s">
        <v>6</v>
      </c>
      <c r="Q157" s="32" t="s">
        <v>461</v>
      </c>
      <c r="R157" s="32" t="s">
        <v>7</v>
      </c>
      <c r="S157" s="32" t="s">
        <v>6</v>
      </c>
      <c r="T157" s="32" t="s">
        <v>461</v>
      </c>
      <c r="U157" s="32" t="s">
        <v>7</v>
      </c>
      <c r="V157" s="32" t="s">
        <v>6</v>
      </c>
      <c r="W157" s="32" t="s">
        <v>461</v>
      </c>
      <c r="X157" s="32" t="s">
        <v>7</v>
      </c>
      <c r="Y157" s="58"/>
      <c r="Z157" s="58"/>
      <c r="AA157" s="58"/>
      <c r="AB157" s="58"/>
      <c r="AC157" s="58"/>
      <c r="AD157" s="58"/>
    </row>
    <row r="158" spans="2:31" ht="15.6" x14ac:dyDescent="0.3">
      <c r="B158" s="59"/>
      <c r="C158" s="68"/>
      <c r="D158" s="33">
        <v>50</v>
      </c>
      <c r="E158" s="33">
        <v>50</v>
      </c>
      <c r="F158" s="33">
        <v>100</v>
      </c>
      <c r="G158" s="33">
        <v>50</v>
      </c>
      <c r="H158" s="33">
        <v>50</v>
      </c>
      <c r="I158" s="33">
        <v>100</v>
      </c>
      <c r="J158" s="33">
        <v>50</v>
      </c>
      <c r="K158" s="33">
        <v>50</v>
      </c>
      <c r="L158" s="33">
        <v>100</v>
      </c>
      <c r="M158" s="33">
        <v>50</v>
      </c>
      <c r="N158" s="33">
        <v>50</v>
      </c>
      <c r="O158" s="33">
        <v>100</v>
      </c>
      <c r="P158" s="33">
        <v>50</v>
      </c>
      <c r="Q158" s="33">
        <v>50</v>
      </c>
      <c r="R158" s="33">
        <v>100</v>
      </c>
      <c r="S158" s="33">
        <v>50</v>
      </c>
      <c r="T158" s="33">
        <v>50</v>
      </c>
      <c r="U158" s="33">
        <v>100</v>
      </c>
      <c r="V158" s="33">
        <v>50</v>
      </c>
      <c r="W158" s="33">
        <v>50</v>
      </c>
      <c r="X158" s="33">
        <v>100</v>
      </c>
      <c r="Y158" s="59"/>
      <c r="Z158" s="59"/>
      <c r="AA158" s="59"/>
      <c r="AB158" s="59"/>
      <c r="AC158" s="59"/>
      <c r="AD158" s="59"/>
    </row>
    <row r="159" spans="2:31" ht="15.6" x14ac:dyDescent="0.3">
      <c r="B159" s="26">
        <v>41</v>
      </c>
      <c r="C159" s="27" t="s">
        <v>592</v>
      </c>
      <c r="D159" s="26">
        <v>50</v>
      </c>
      <c r="E159" s="26">
        <v>46</v>
      </c>
      <c r="F159" s="33">
        <f t="shared" ref="F159:F178" si="33">SUM(D159:E159)</f>
        <v>96</v>
      </c>
      <c r="G159" s="26">
        <v>35</v>
      </c>
      <c r="H159" s="26">
        <v>40</v>
      </c>
      <c r="I159" s="33">
        <f t="shared" ref="I159:I178" si="34">SUM(G159:H159)</f>
        <v>75</v>
      </c>
      <c r="J159" s="26">
        <v>41</v>
      </c>
      <c r="K159" s="26">
        <v>45</v>
      </c>
      <c r="L159" s="33">
        <f t="shared" ref="L159:L178" si="35">SUM(J159:K159)</f>
        <v>86</v>
      </c>
      <c r="M159" s="26">
        <v>37</v>
      </c>
      <c r="N159" s="26">
        <v>34</v>
      </c>
      <c r="O159" s="33">
        <f t="shared" ref="O159:O178" si="36">SUM(M159:N159)</f>
        <v>71</v>
      </c>
      <c r="P159" s="26">
        <v>33</v>
      </c>
      <c r="Q159" s="26">
        <v>45</v>
      </c>
      <c r="R159" s="33">
        <f t="shared" ref="R159:R178" si="37">SUM(P159:Q159)</f>
        <v>78</v>
      </c>
      <c r="S159" s="26">
        <v>25</v>
      </c>
      <c r="T159" s="26">
        <v>47</v>
      </c>
      <c r="U159" s="33">
        <f t="shared" ref="U159:U178" si="38">SUM(S159:T159)</f>
        <v>72</v>
      </c>
      <c r="V159" s="26">
        <v>26</v>
      </c>
      <c r="W159" s="26">
        <v>38</v>
      </c>
      <c r="X159" s="33">
        <f t="shared" ref="X159:X178" si="39">SUM(V159:W159)</f>
        <v>64</v>
      </c>
      <c r="Y159" s="26"/>
      <c r="Z159" s="26"/>
      <c r="AA159" s="26"/>
      <c r="AB159" s="33">
        <f t="shared" ref="AB159:AB178" si="40">SUM(X159,U159,R159,O159,L159,I159,F159)</f>
        <v>542</v>
      </c>
      <c r="AC159" s="26" t="s">
        <v>117</v>
      </c>
      <c r="AD159" s="29"/>
    </row>
    <row r="160" spans="2:31" ht="15.6" x14ac:dyDescent="0.3">
      <c r="B160" s="26">
        <v>42</v>
      </c>
      <c r="C160" s="27" t="s">
        <v>211</v>
      </c>
      <c r="D160" s="26">
        <v>46</v>
      </c>
      <c r="E160" s="26">
        <v>39</v>
      </c>
      <c r="F160" s="33">
        <f t="shared" si="33"/>
        <v>85</v>
      </c>
      <c r="G160" s="26">
        <v>42</v>
      </c>
      <c r="H160" s="26">
        <v>43</v>
      </c>
      <c r="I160" s="33">
        <f t="shared" si="34"/>
        <v>85</v>
      </c>
      <c r="J160" s="26">
        <v>40</v>
      </c>
      <c r="K160" s="26">
        <v>42</v>
      </c>
      <c r="L160" s="33">
        <f t="shared" si="35"/>
        <v>82</v>
      </c>
      <c r="M160" s="26">
        <v>42</v>
      </c>
      <c r="N160" s="26">
        <v>40</v>
      </c>
      <c r="O160" s="33">
        <f t="shared" si="36"/>
        <v>82</v>
      </c>
      <c r="P160" s="26">
        <v>39</v>
      </c>
      <c r="Q160" s="26">
        <v>42</v>
      </c>
      <c r="R160" s="33">
        <f t="shared" si="37"/>
        <v>81</v>
      </c>
      <c r="S160" s="26">
        <v>40</v>
      </c>
      <c r="T160" s="26">
        <v>42</v>
      </c>
      <c r="U160" s="33">
        <f t="shared" si="38"/>
        <v>82</v>
      </c>
      <c r="V160" s="26">
        <v>36</v>
      </c>
      <c r="W160" s="26">
        <v>44</v>
      </c>
      <c r="X160" s="33">
        <f t="shared" si="39"/>
        <v>80</v>
      </c>
      <c r="Y160" s="26"/>
      <c r="Z160" s="26"/>
      <c r="AA160" s="26"/>
      <c r="AB160" s="33">
        <f t="shared" si="40"/>
        <v>577</v>
      </c>
      <c r="AC160" s="26" t="s">
        <v>117</v>
      </c>
      <c r="AD160" s="29"/>
    </row>
    <row r="161" spans="2:30" ht="15.6" x14ac:dyDescent="0.3">
      <c r="B161" s="26">
        <v>43</v>
      </c>
      <c r="C161" s="27" t="s">
        <v>212</v>
      </c>
      <c r="D161" s="26">
        <v>35</v>
      </c>
      <c r="E161" s="26">
        <v>21</v>
      </c>
      <c r="F161" s="33">
        <f t="shared" si="33"/>
        <v>56</v>
      </c>
      <c r="G161" s="26">
        <v>31</v>
      </c>
      <c r="H161" s="26">
        <v>29</v>
      </c>
      <c r="I161" s="33">
        <f t="shared" si="34"/>
        <v>60</v>
      </c>
      <c r="J161" s="26">
        <v>25</v>
      </c>
      <c r="K161" s="26">
        <v>26</v>
      </c>
      <c r="L161" s="33">
        <f t="shared" si="35"/>
        <v>51</v>
      </c>
      <c r="M161" s="26">
        <v>25</v>
      </c>
      <c r="N161" s="26">
        <v>28</v>
      </c>
      <c r="O161" s="33">
        <f t="shared" si="36"/>
        <v>53</v>
      </c>
      <c r="P161" s="26">
        <v>27</v>
      </c>
      <c r="Q161" s="26">
        <v>23</v>
      </c>
      <c r="R161" s="33">
        <f t="shared" si="37"/>
        <v>50</v>
      </c>
      <c r="S161" s="26">
        <v>28</v>
      </c>
      <c r="T161" s="26">
        <v>27</v>
      </c>
      <c r="U161" s="33">
        <f t="shared" si="38"/>
        <v>55</v>
      </c>
      <c r="V161" s="26">
        <v>33</v>
      </c>
      <c r="W161" s="26">
        <v>35</v>
      </c>
      <c r="X161" s="33">
        <f t="shared" si="39"/>
        <v>68</v>
      </c>
      <c r="Y161" s="26"/>
      <c r="Z161" s="26"/>
      <c r="AA161" s="26"/>
      <c r="AB161" s="33">
        <f t="shared" si="40"/>
        <v>393</v>
      </c>
      <c r="AC161" s="26" t="s">
        <v>117</v>
      </c>
      <c r="AD161" s="29"/>
    </row>
    <row r="162" spans="2:30" ht="15.6" x14ac:dyDescent="0.3">
      <c r="B162" s="26">
        <v>44</v>
      </c>
      <c r="C162" s="29" t="s">
        <v>593</v>
      </c>
      <c r="D162" s="26">
        <v>44</v>
      </c>
      <c r="E162" s="26">
        <v>45</v>
      </c>
      <c r="F162" s="33">
        <f t="shared" si="33"/>
        <v>89</v>
      </c>
      <c r="G162" s="26">
        <v>43</v>
      </c>
      <c r="H162" s="26">
        <v>44</v>
      </c>
      <c r="I162" s="33">
        <f t="shared" si="34"/>
        <v>87</v>
      </c>
      <c r="J162" s="26">
        <v>44</v>
      </c>
      <c r="K162" s="26">
        <v>49</v>
      </c>
      <c r="L162" s="33">
        <f t="shared" si="35"/>
        <v>93</v>
      </c>
      <c r="M162" s="26">
        <v>46</v>
      </c>
      <c r="N162" s="26">
        <v>40</v>
      </c>
      <c r="O162" s="33">
        <f t="shared" si="36"/>
        <v>86</v>
      </c>
      <c r="P162" s="26">
        <v>33</v>
      </c>
      <c r="Q162" s="26">
        <v>40</v>
      </c>
      <c r="R162" s="33">
        <f t="shared" si="37"/>
        <v>73</v>
      </c>
      <c r="S162" s="26">
        <v>45</v>
      </c>
      <c r="T162" s="26">
        <v>42</v>
      </c>
      <c r="U162" s="33">
        <f t="shared" si="38"/>
        <v>87</v>
      </c>
      <c r="V162" s="26">
        <v>40</v>
      </c>
      <c r="W162" s="26">
        <v>39</v>
      </c>
      <c r="X162" s="33">
        <f t="shared" si="39"/>
        <v>79</v>
      </c>
      <c r="Y162" s="26"/>
      <c r="Z162" s="26"/>
      <c r="AA162" s="26"/>
      <c r="AB162" s="33">
        <f t="shared" si="40"/>
        <v>594</v>
      </c>
      <c r="AC162" s="26" t="s">
        <v>117</v>
      </c>
      <c r="AD162" s="29"/>
    </row>
    <row r="163" spans="2:30" ht="15.6" x14ac:dyDescent="0.3">
      <c r="B163" s="26">
        <v>45</v>
      </c>
      <c r="C163" s="29" t="s">
        <v>594</v>
      </c>
      <c r="D163" s="26">
        <v>34</v>
      </c>
      <c r="E163" s="26">
        <v>34</v>
      </c>
      <c r="F163" s="33">
        <f t="shared" si="33"/>
        <v>68</v>
      </c>
      <c r="G163" s="26">
        <v>35</v>
      </c>
      <c r="H163" s="26">
        <v>37</v>
      </c>
      <c r="I163" s="33">
        <f t="shared" si="34"/>
        <v>72</v>
      </c>
      <c r="J163" s="26">
        <v>28</v>
      </c>
      <c r="K163" s="26">
        <v>27</v>
      </c>
      <c r="L163" s="33">
        <f t="shared" si="35"/>
        <v>55</v>
      </c>
      <c r="M163" s="26">
        <v>35</v>
      </c>
      <c r="N163" s="26">
        <v>34</v>
      </c>
      <c r="O163" s="33">
        <f t="shared" si="36"/>
        <v>69</v>
      </c>
      <c r="P163" s="26">
        <v>29</v>
      </c>
      <c r="Q163" s="26">
        <v>28</v>
      </c>
      <c r="R163" s="33">
        <f t="shared" si="37"/>
        <v>57</v>
      </c>
      <c r="S163" s="26">
        <v>35</v>
      </c>
      <c r="T163" s="26">
        <v>39</v>
      </c>
      <c r="U163" s="33">
        <f t="shared" si="38"/>
        <v>74</v>
      </c>
      <c r="V163" s="26">
        <v>31</v>
      </c>
      <c r="W163" s="26">
        <v>31</v>
      </c>
      <c r="X163" s="33">
        <f t="shared" si="39"/>
        <v>62</v>
      </c>
      <c r="Y163" s="26"/>
      <c r="Z163" s="26"/>
      <c r="AA163" s="26"/>
      <c r="AB163" s="33">
        <f t="shared" si="40"/>
        <v>457</v>
      </c>
      <c r="AC163" s="26" t="s">
        <v>117</v>
      </c>
      <c r="AD163" s="29"/>
    </row>
    <row r="164" spans="2:30" ht="15.6" x14ac:dyDescent="0.3">
      <c r="B164" s="26">
        <v>46</v>
      </c>
      <c r="C164" s="29" t="s">
        <v>595</v>
      </c>
      <c r="D164" s="26">
        <v>45</v>
      </c>
      <c r="E164" s="26">
        <v>45</v>
      </c>
      <c r="F164" s="33">
        <f t="shared" si="33"/>
        <v>90</v>
      </c>
      <c r="G164" s="26">
        <v>34</v>
      </c>
      <c r="H164" s="26">
        <v>43</v>
      </c>
      <c r="I164" s="33">
        <f t="shared" si="34"/>
        <v>77</v>
      </c>
      <c r="J164" s="26">
        <v>39</v>
      </c>
      <c r="K164" s="26">
        <v>31</v>
      </c>
      <c r="L164" s="33">
        <f t="shared" si="35"/>
        <v>70</v>
      </c>
      <c r="M164" s="26">
        <v>40</v>
      </c>
      <c r="N164" s="26">
        <v>36</v>
      </c>
      <c r="O164" s="33">
        <f t="shared" si="36"/>
        <v>76</v>
      </c>
      <c r="P164" s="26">
        <v>40</v>
      </c>
      <c r="Q164" s="26">
        <v>43</v>
      </c>
      <c r="R164" s="33">
        <f t="shared" si="37"/>
        <v>83</v>
      </c>
      <c r="S164" s="26">
        <v>27</v>
      </c>
      <c r="T164" s="26">
        <v>49</v>
      </c>
      <c r="U164" s="33">
        <f t="shared" si="38"/>
        <v>76</v>
      </c>
      <c r="V164" s="26">
        <v>33</v>
      </c>
      <c r="W164" s="26">
        <v>43</v>
      </c>
      <c r="X164" s="33">
        <f t="shared" si="39"/>
        <v>76</v>
      </c>
      <c r="Y164" s="26"/>
      <c r="Z164" s="26"/>
      <c r="AA164" s="26"/>
      <c r="AB164" s="33">
        <f t="shared" si="40"/>
        <v>548</v>
      </c>
      <c r="AC164" s="26" t="s">
        <v>117</v>
      </c>
      <c r="AD164" s="29"/>
    </row>
    <row r="165" spans="2:30" ht="15.6" x14ac:dyDescent="0.3">
      <c r="B165" s="26">
        <v>47</v>
      </c>
      <c r="C165" s="29" t="s">
        <v>213</v>
      </c>
      <c r="D165" s="26">
        <v>25</v>
      </c>
      <c r="E165" s="26">
        <v>42</v>
      </c>
      <c r="F165" s="33">
        <f t="shared" si="33"/>
        <v>67</v>
      </c>
      <c r="G165" s="26">
        <v>22</v>
      </c>
      <c r="H165" s="26">
        <v>37</v>
      </c>
      <c r="I165" s="33">
        <f t="shared" si="34"/>
        <v>59</v>
      </c>
      <c r="J165" s="26">
        <v>26</v>
      </c>
      <c r="K165" s="26">
        <v>25</v>
      </c>
      <c r="L165" s="33">
        <f t="shared" si="35"/>
        <v>51</v>
      </c>
      <c r="M165" s="26">
        <v>33</v>
      </c>
      <c r="N165" s="26">
        <v>26</v>
      </c>
      <c r="O165" s="33">
        <f t="shared" si="36"/>
        <v>59</v>
      </c>
      <c r="P165" s="26">
        <v>29</v>
      </c>
      <c r="Q165" s="26">
        <v>21</v>
      </c>
      <c r="R165" s="33">
        <f t="shared" si="37"/>
        <v>50</v>
      </c>
      <c r="S165" s="26">
        <v>19</v>
      </c>
      <c r="T165" s="26">
        <v>35</v>
      </c>
      <c r="U165" s="33">
        <f t="shared" si="38"/>
        <v>54</v>
      </c>
      <c r="V165" s="26">
        <v>27</v>
      </c>
      <c r="W165" s="26">
        <v>26</v>
      </c>
      <c r="X165" s="33">
        <f t="shared" si="39"/>
        <v>53</v>
      </c>
      <c r="Y165" s="26"/>
      <c r="Z165" s="26"/>
      <c r="AA165" s="26"/>
      <c r="AB165" s="33">
        <f t="shared" si="40"/>
        <v>393</v>
      </c>
      <c r="AC165" s="26" t="s">
        <v>117</v>
      </c>
      <c r="AD165" s="29"/>
    </row>
    <row r="166" spans="2:30" ht="15.6" x14ac:dyDescent="0.3">
      <c r="B166" s="26">
        <v>48</v>
      </c>
      <c r="C166" s="29" t="s">
        <v>532</v>
      </c>
      <c r="D166" s="26">
        <v>31</v>
      </c>
      <c r="E166" s="26">
        <v>34</v>
      </c>
      <c r="F166" s="33">
        <f t="shared" si="33"/>
        <v>65</v>
      </c>
      <c r="G166" s="26">
        <v>27</v>
      </c>
      <c r="H166" s="26">
        <v>39</v>
      </c>
      <c r="I166" s="33">
        <f t="shared" si="34"/>
        <v>66</v>
      </c>
      <c r="J166" s="26">
        <v>28</v>
      </c>
      <c r="K166" s="26">
        <v>25</v>
      </c>
      <c r="L166" s="33">
        <f t="shared" si="35"/>
        <v>53</v>
      </c>
      <c r="M166" s="26">
        <v>36</v>
      </c>
      <c r="N166" s="26">
        <v>26</v>
      </c>
      <c r="O166" s="33">
        <f t="shared" si="36"/>
        <v>62</v>
      </c>
      <c r="P166" s="26">
        <v>25</v>
      </c>
      <c r="Q166" s="26">
        <v>26</v>
      </c>
      <c r="R166" s="33">
        <f t="shared" si="37"/>
        <v>51</v>
      </c>
      <c r="S166" s="26">
        <v>29</v>
      </c>
      <c r="T166" s="26">
        <v>33</v>
      </c>
      <c r="U166" s="33">
        <f t="shared" si="38"/>
        <v>62</v>
      </c>
      <c r="V166" s="26">
        <v>31</v>
      </c>
      <c r="W166" s="26">
        <v>25</v>
      </c>
      <c r="X166" s="33">
        <f t="shared" si="39"/>
        <v>56</v>
      </c>
      <c r="Y166" s="26"/>
      <c r="Z166" s="26"/>
      <c r="AA166" s="26"/>
      <c r="AB166" s="33">
        <f t="shared" si="40"/>
        <v>415</v>
      </c>
      <c r="AC166" s="26" t="s">
        <v>117</v>
      </c>
      <c r="AD166" s="29"/>
    </row>
    <row r="167" spans="2:30" ht="15.6" x14ac:dyDescent="0.3">
      <c r="B167" s="26">
        <v>49</v>
      </c>
      <c r="C167" s="29" t="s">
        <v>533</v>
      </c>
      <c r="D167" s="26">
        <v>46</v>
      </c>
      <c r="E167" s="26">
        <v>44</v>
      </c>
      <c r="F167" s="33">
        <f t="shared" si="33"/>
        <v>90</v>
      </c>
      <c r="G167" s="26">
        <v>47</v>
      </c>
      <c r="H167" s="26">
        <v>46</v>
      </c>
      <c r="I167" s="33">
        <f t="shared" si="34"/>
        <v>93</v>
      </c>
      <c r="J167" s="26">
        <v>36</v>
      </c>
      <c r="K167" s="26">
        <v>37</v>
      </c>
      <c r="L167" s="33">
        <f t="shared" si="35"/>
        <v>73</v>
      </c>
      <c r="M167" s="26">
        <v>41</v>
      </c>
      <c r="N167" s="26">
        <v>38</v>
      </c>
      <c r="O167" s="33">
        <f t="shared" si="36"/>
        <v>79</v>
      </c>
      <c r="P167" s="26">
        <v>29</v>
      </c>
      <c r="Q167" s="26">
        <v>30</v>
      </c>
      <c r="R167" s="33">
        <f t="shared" si="37"/>
        <v>59</v>
      </c>
      <c r="S167" s="26">
        <v>42</v>
      </c>
      <c r="T167" s="26">
        <v>42</v>
      </c>
      <c r="U167" s="33">
        <f t="shared" si="38"/>
        <v>84</v>
      </c>
      <c r="V167" s="26">
        <v>32</v>
      </c>
      <c r="W167" s="26">
        <v>37</v>
      </c>
      <c r="X167" s="33">
        <f t="shared" si="39"/>
        <v>69</v>
      </c>
      <c r="Y167" s="26"/>
      <c r="Z167" s="26"/>
      <c r="AA167" s="26"/>
      <c r="AB167" s="33">
        <f t="shared" si="40"/>
        <v>547</v>
      </c>
      <c r="AC167" s="26" t="s">
        <v>117</v>
      </c>
      <c r="AD167" s="29"/>
    </row>
    <row r="168" spans="2:30" ht="15.6" x14ac:dyDescent="0.3">
      <c r="B168" s="26">
        <v>50</v>
      </c>
      <c r="C168" s="29" t="s">
        <v>534</v>
      </c>
      <c r="D168" s="26">
        <v>35</v>
      </c>
      <c r="E168" s="26">
        <v>25</v>
      </c>
      <c r="F168" s="33">
        <f t="shared" si="33"/>
        <v>60</v>
      </c>
      <c r="G168" s="26">
        <v>28</v>
      </c>
      <c r="H168" s="26">
        <v>36</v>
      </c>
      <c r="I168" s="33">
        <f t="shared" si="34"/>
        <v>64</v>
      </c>
      <c r="J168" s="26">
        <v>27</v>
      </c>
      <c r="K168" s="26">
        <v>25</v>
      </c>
      <c r="L168" s="33">
        <f t="shared" si="35"/>
        <v>52</v>
      </c>
      <c r="M168" s="26">
        <v>32</v>
      </c>
      <c r="N168" s="26">
        <v>25</v>
      </c>
      <c r="O168" s="33">
        <f t="shared" si="36"/>
        <v>57</v>
      </c>
      <c r="P168" s="26">
        <v>25</v>
      </c>
      <c r="Q168" s="26">
        <v>26</v>
      </c>
      <c r="R168" s="33">
        <f t="shared" si="37"/>
        <v>51</v>
      </c>
      <c r="S168" s="26">
        <v>25</v>
      </c>
      <c r="T168" s="26">
        <v>33</v>
      </c>
      <c r="U168" s="33">
        <f t="shared" si="38"/>
        <v>58</v>
      </c>
      <c r="V168" s="26">
        <v>31</v>
      </c>
      <c r="W168" s="26">
        <v>31</v>
      </c>
      <c r="X168" s="33">
        <f t="shared" si="39"/>
        <v>62</v>
      </c>
      <c r="Y168" s="26"/>
      <c r="Z168" s="26"/>
      <c r="AA168" s="26"/>
      <c r="AB168" s="33">
        <f t="shared" si="40"/>
        <v>404</v>
      </c>
      <c r="AC168" s="26" t="s">
        <v>117</v>
      </c>
      <c r="AD168" s="29"/>
    </row>
    <row r="169" spans="2:30" ht="15.6" x14ac:dyDescent="0.3">
      <c r="B169" s="26">
        <v>51</v>
      </c>
      <c r="C169" s="29" t="s">
        <v>214</v>
      </c>
      <c r="D169" s="26">
        <v>50</v>
      </c>
      <c r="E169" s="26">
        <v>50</v>
      </c>
      <c r="F169" s="33">
        <f t="shared" si="33"/>
        <v>100</v>
      </c>
      <c r="G169" s="26">
        <v>48</v>
      </c>
      <c r="H169" s="26">
        <v>50</v>
      </c>
      <c r="I169" s="33">
        <f t="shared" si="34"/>
        <v>98</v>
      </c>
      <c r="J169" s="26">
        <v>49</v>
      </c>
      <c r="K169" s="26">
        <v>49</v>
      </c>
      <c r="L169" s="33">
        <f t="shared" si="35"/>
        <v>98</v>
      </c>
      <c r="M169" s="26">
        <v>50</v>
      </c>
      <c r="N169" s="26">
        <v>50</v>
      </c>
      <c r="O169" s="33">
        <f t="shared" si="36"/>
        <v>100</v>
      </c>
      <c r="P169" s="26">
        <v>50</v>
      </c>
      <c r="Q169" s="26">
        <v>49</v>
      </c>
      <c r="R169" s="33">
        <f t="shared" si="37"/>
        <v>99</v>
      </c>
      <c r="S169" s="26">
        <v>50</v>
      </c>
      <c r="T169" s="26">
        <v>50</v>
      </c>
      <c r="U169" s="33">
        <f t="shared" si="38"/>
        <v>100</v>
      </c>
      <c r="V169" s="26">
        <v>50</v>
      </c>
      <c r="W169" s="26">
        <v>50</v>
      </c>
      <c r="X169" s="33">
        <f t="shared" si="39"/>
        <v>100</v>
      </c>
      <c r="Y169" s="26"/>
      <c r="Z169" s="26"/>
      <c r="AA169" s="26"/>
      <c r="AB169" s="33">
        <f t="shared" si="40"/>
        <v>695</v>
      </c>
      <c r="AC169" s="26" t="s">
        <v>117</v>
      </c>
      <c r="AD169" s="29"/>
    </row>
    <row r="170" spans="2:30" ht="15.6" x14ac:dyDescent="0.3">
      <c r="B170" s="26">
        <v>52</v>
      </c>
      <c r="C170" s="29" t="s">
        <v>215</v>
      </c>
      <c r="D170" s="26">
        <v>50</v>
      </c>
      <c r="E170" s="26">
        <v>44</v>
      </c>
      <c r="F170" s="33">
        <f t="shared" si="33"/>
        <v>94</v>
      </c>
      <c r="G170" s="26">
        <v>48</v>
      </c>
      <c r="H170" s="26">
        <v>47</v>
      </c>
      <c r="I170" s="33">
        <f t="shared" si="34"/>
        <v>95</v>
      </c>
      <c r="J170" s="26">
        <v>48</v>
      </c>
      <c r="K170" s="26">
        <v>49</v>
      </c>
      <c r="L170" s="33">
        <f t="shared" si="35"/>
        <v>97</v>
      </c>
      <c r="M170" s="26">
        <v>50</v>
      </c>
      <c r="N170" s="26">
        <v>50</v>
      </c>
      <c r="O170" s="33">
        <f t="shared" si="36"/>
        <v>100</v>
      </c>
      <c r="P170" s="26">
        <v>50</v>
      </c>
      <c r="Q170" s="26">
        <v>50</v>
      </c>
      <c r="R170" s="33">
        <f t="shared" si="37"/>
        <v>100</v>
      </c>
      <c r="S170" s="26">
        <v>50</v>
      </c>
      <c r="T170" s="26">
        <v>49</v>
      </c>
      <c r="U170" s="33">
        <f t="shared" si="38"/>
        <v>99</v>
      </c>
      <c r="V170" s="26">
        <v>44</v>
      </c>
      <c r="W170" s="26">
        <v>50</v>
      </c>
      <c r="X170" s="33">
        <f t="shared" si="39"/>
        <v>94</v>
      </c>
      <c r="Y170" s="26"/>
      <c r="Z170" s="26"/>
      <c r="AA170" s="26"/>
      <c r="AB170" s="33">
        <f t="shared" si="40"/>
        <v>679</v>
      </c>
      <c r="AC170" s="26" t="s">
        <v>117</v>
      </c>
      <c r="AD170" s="29"/>
    </row>
    <row r="171" spans="2:30" ht="15.6" x14ac:dyDescent="0.3">
      <c r="B171" s="26">
        <v>53</v>
      </c>
      <c r="C171" s="29" t="s">
        <v>535</v>
      </c>
      <c r="D171" s="26">
        <v>25</v>
      </c>
      <c r="E171" s="26">
        <v>26</v>
      </c>
      <c r="F171" s="33">
        <f t="shared" si="33"/>
        <v>51</v>
      </c>
      <c r="G171" s="26">
        <v>21</v>
      </c>
      <c r="H171" s="26">
        <v>33</v>
      </c>
      <c r="I171" s="33">
        <f t="shared" si="34"/>
        <v>54</v>
      </c>
      <c r="J171" s="26">
        <v>25</v>
      </c>
      <c r="K171" s="26">
        <v>27</v>
      </c>
      <c r="L171" s="33">
        <f t="shared" si="35"/>
        <v>52</v>
      </c>
      <c r="M171" s="26">
        <v>30</v>
      </c>
      <c r="N171" s="26">
        <v>25</v>
      </c>
      <c r="O171" s="33">
        <f t="shared" si="36"/>
        <v>55</v>
      </c>
      <c r="P171" s="26">
        <v>29</v>
      </c>
      <c r="Q171" s="26">
        <v>29</v>
      </c>
      <c r="R171" s="33">
        <f t="shared" si="37"/>
        <v>58</v>
      </c>
      <c r="S171" s="26">
        <v>19</v>
      </c>
      <c r="T171" s="26">
        <v>32</v>
      </c>
      <c r="U171" s="33">
        <f t="shared" si="38"/>
        <v>51</v>
      </c>
      <c r="V171" s="26">
        <v>33</v>
      </c>
      <c r="W171" s="26">
        <v>35</v>
      </c>
      <c r="X171" s="33">
        <f t="shared" si="39"/>
        <v>68</v>
      </c>
      <c r="Y171" s="26"/>
      <c r="Z171" s="26"/>
      <c r="AA171" s="26"/>
      <c r="AB171" s="33">
        <f t="shared" si="40"/>
        <v>389</v>
      </c>
      <c r="AC171" s="26" t="s">
        <v>117</v>
      </c>
      <c r="AD171" s="29"/>
    </row>
    <row r="172" spans="2:30" ht="15.6" x14ac:dyDescent="0.3">
      <c r="B172" s="26">
        <v>54</v>
      </c>
      <c r="C172" s="29" t="s">
        <v>454</v>
      </c>
      <c r="D172" s="26">
        <v>45</v>
      </c>
      <c r="E172" s="26">
        <v>36</v>
      </c>
      <c r="F172" s="33">
        <f t="shared" si="33"/>
        <v>81</v>
      </c>
      <c r="G172" s="26">
        <v>33</v>
      </c>
      <c r="H172" s="26">
        <v>31</v>
      </c>
      <c r="I172" s="33">
        <f t="shared" si="34"/>
        <v>64</v>
      </c>
      <c r="J172" s="26">
        <v>41</v>
      </c>
      <c r="K172" s="26">
        <v>40</v>
      </c>
      <c r="L172" s="33">
        <f t="shared" si="35"/>
        <v>81</v>
      </c>
      <c r="M172" s="26">
        <v>35</v>
      </c>
      <c r="N172" s="26">
        <v>28</v>
      </c>
      <c r="O172" s="33">
        <f t="shared" si="36"/>
        <v>63</v>
      </c>
      <c r="P172" s="26">
        <v>33</v>
      </c>
      <c r="Q172" s="26">
        <v>31</v>
      </c>
      <c r="R172" s="33">
        <f t="shared" si="37"/>
        <v>64</v>
      </c>
      <c r="S172" s="26">
        <v>37</v>
      </c>
      <c r="T172" s="26">
        <v>34</v>
      </c>
      <c r="U172" s="33">
        <f t="shared" si="38"/>
        <v>71</v>
      </c>
      <c r="V172" s="26">
        <v>37</v>
      </c>
      <c r="W172" s="26">
        <v>27</v>
      </c>
      <c r="X172" s="33">
        <f t="shared" si="39"/>
        <v>64</v>
      </c>
      <c r="Y172" s="26"/>
      <c r="Z172" s="26"/>
      <c r="AA172" s="26"/>
      <c r="AB172" s="33">
        <f t="shared" si="40"/>
        <v>488</v>
      </c>
      <c r="AC172" s="26" t="s">
        <v>117</v>
      </c>
      <c r="AD172" s="29"/>
    </row>
    <row r="173" spans="2:30" ht="15.6" x14ac:dyDescent="0.3">
      <c r="B173" s="26">
        <v>55</v>
      </c>
      <c r="C173" s="27" t="s">
        <v>596</v>
      </c>
      <c r="D173" s="26">
        <v>46</v>
      </c>
      <c r="E173" s="26">
        <v>44</v>
      </c>
      <c r="F173" s="33">
        <f t="shared" si="33"/>
        <v>90</v>
      </c>
      <c r="G173" s="26">
        <v>41</v>
      </c>
      <c r="H173" s="26">
        <v>42</v>
      </c>
      <c r="I173" s="33">
        <f t="shared" si="34"/>
        <v>83</v>
      </c>
      <c r="J173" s="26">
        <v>30</v>
      </c>
      <c r="K173" s="26">
        <v>36</v>
      </c>
      <c r="L173" s="33">
        <f t="shared" si="35"/>
        <v>66</v>
      </c>
      <c r="M173" s="26">
        <v>37</v>
      </c>
      <c r="N173" s="26">
        <v>36</v>
      </c>
      <c r="O173" s="33">
        <f t="shared" si="36"/>
        <v>73</v>
      </c>
      <c r="P173" s="26">
        <v>25</v>
      </c>
      <c r="Q173" s="26">
        <v>29</v>
      </c>
      <c r="R173" s="33">
        <f t="shared" si="37"/>
        <v>54</v>
      </c>
      <c r="S173" s="26">
        <v>40</v>
      </c>
      <c r="T173" s="26">
        <v>36</v>
      </c>
      <c r="U173" s="33">
        <f t="shared" si="38"/>
        <v>76</v>
      </c>
      <c r="V173" s="26">
        <v>31</v>
      </c>
      <c r="W173" s="26">
        <v>37</v>
      </c>
      <c r="X173" s="33">
        <f t="shared" si="39"/>
        <v>68</v>
      </c>
      <c r="Y173" s="26"/>
      <c r="Z173" s="26"/>
      <c r="AA173" s="26"/>
      <c r="AB173" s="33">
        <f t="shared" si="40"/>
        <v>510</v>
      </c>
      <c r="AC173" s="26" t="s">
        <v>117</v>
      </c>
      <c r="AD173" s="29"/>
    </row>
    <row r="174" spans="2:30" ht="15.6" x14ac:dyDescent="0.3">
      <c r="B174" s="26">
        <v>56</v>
      </c>
      <c r="C174" s="27" t="s">
        <v>216</v>
      </c>
      <c r="D174" s="26">
        <v>50</v>
      </c>
      <c r="E174" s="26">
        <v>50</v>
      </c>
      <c r="F174" s="33">
        <f t="shared" si="33"/>
        <v>100</v>
      </c>
      <c r="G174" s="26">
        <v>50</v>
      </c>
      <c r="H174" s="26">
        <v>47</v>
      </c>
      <c r="I174" s="33">
        <f t="shared" si="34"/>
        <v>97</v>
      </c>
      <c r="J174" s="26">
        <v>50</v>
      </c>
      <c r="K174" s="26">
        <v>50</v>
      </c>
      <c r="L174" s="33">
        <f t="shared" si="35"/>
        <v>100</v>
      </c>
      <c r="M174" s="26">
        <v>50</v>
      </c>
      <c r="N174" s="26">
        <v>50</v>
      </c>
      <c r="O174" s="33">
        <f t="shared" si="36"/>
        <v>100</v>
      </c>
      <c r="P174" s="26">
        <v>41</v>
      </c>
      <c r="Q174" s="26">
        <v>48</v>
      </c>
      <c r="R174" s="33">
        <f t="shared" si="37"/>
        <v>89</v>
      </c>
      <c r="S174" s="26">
        <v>50</v>
      </c>
      <c r="T174" s="26">
        <v>50</v>
      </c>
      <c r="U174" s="33">
        <f t="shared" si="38"/>
        <v>100</v>
      </c>
      <c r="V174" s="26">
        <v>47</v>
      </c>
      <c r="W174" s="26">
        <v>50</v>
      </c>
      <c r="X174" s="33">
        <f t="shared" si="39"/>
        <v>97</v>
      </c>
      <c r="Y174" s="26"/>
      <c r="Z174" s="26"/>
      <c r="AA174" s="26"/>
      <c r="AB174" s="33">
        <f t="shared" si="40"/>
        <v>683</v>
      </c>
      <c r="AC174" s="26" t="s">
        <v>117</v>
      </c>
      <c r="AD174" s="29"/>
    </row>
    <row r="175" spans="2:30" ht="15.6" x14ac:dyDescent="0.3">
      <c r="B175" s="26">
        <v>57</v>
      </c>
      <c r="C175" s="27" t="s">
        <v>597</v>
      </c>
      <c r="D175" s="26">
        <v>50</v>
      </c>
      <c r="E175" s="26">
        <v>50</v>
      </c>
      <c r="F175" s="33">
        <f t="shared" si="33"/>
        <v>100</v>
      </c>
      <c r="G175" s="26">
        <v>48</v>
      </c>
      <c r="H175" s="26">
        <v>50</v>
      </c>
      <c r="I175" s="33">
        <f t="shared" si="34"/>
        <v>98</v>
      </c>
      <c r="J175" s="26">
        <v>39</v>
      </c>
      <c r="K175" s="26">
        <v>48</v>
      </c>
      <c r="L175" s="33">
        <f t="shared" si="35"/>
        <v>87</v>
      </c>
      <c r="M175" s="26">
        <v>49</v>
      </c>
      <c r="N175" s="26">
        <v>50</v>
      </c>
      <c r="O175" s="33">
        <f t="shared" si="36"/>
        <v>99</v>
      </c>
      <c r="P175" s="26">
        <v>40</v>
      </c>
      <c r="Q175" s="26">
        <v>41</v>
      </c>
      <c r="R175" s="33">
        <f t="shared" si="37"/>
        <v>81</v>
      </c>
      <c r="S175" s="26">
        <v>50</v>
      </c>
      <c r="T175" s="26">
        <v>49</v>
      </c>
      <c r="U175" s="33">
        <f t="shared" si="38"/>
        <v>99</v>
      </c>
      <c r="V175" s="26">
        <v>38</v>
      </c>
      <c r="W175" s="26">
        <v>45</v>
      </c>
      <c r="X175" s="33">
        <f t="shared" si="39"/>
        <v>83</v>
      </c>
      <c r="Y175" s="26"/>
      <c r="Z175" s="26"/>
      <c r="AA175" s="26"/>
      <c r="AB175" s="33">
        <f t="shared" si="40"/>
        <v>647</v>
      </c>
      <c r="AC175" s="26" t="s">
        <v>117</v>
      </c>
      <c r="AD175" s="29"/>
    </row>
    <row r="176" spans="2:30" ht="15.6" x14ac:dyDescent="0.3">
      <c r="B176" s="26">
        <v>58</v>
      </c>
      <c r="C176" s="27" t="s">
        <v>536</v>
      </c>
      <c r="D176" s="26">
        <v>46</v>
      </c>
      <c r="E176" s="26">
        <v>35</v>
      </c>
      <c r="F176" s="33">
        <f t="shared" si="33"/>
        <v>81</v>
      </c>
      <c r="G176" s="26">
        <v>40</v>
      </c>
      <c r="H176" s="26">
        <v>38</v>
      </c>
      <c r="I176" s="33">
        <f t="shared" si="34"/>
        <v>78</v>
      </c>
      <c r="J176" s="26">
        <v>43</v>
      </c>
      <c r="K176" s="26">
        <v>41</v>
      </c>
      <c r="L176" s="33">
        <f t="shared" si="35"/>
        <v>84</v>
      </c>
      <c r="M176" s="26">
        <v>47</v>
      </c>
      <c r="N176" s="26">
        <v>38</v>
      </c>
      <c r="O176" s="33">
        <f t="shared" si="36"/>
        <v>85</v>
      </c>
      <c r="P176" s="26">
        <v>44</v>
      </c>
      <c r="Q176" s="26">
        <v>33</v>
      </c>
      <c r="R176" s="33">
        <f t="shared" si="37"/>
        <v>77</v>
      </c>
      <c r="S176" s="26">
        <v>48</v>
      </c>
      <c r="T176" s="26">
        <v>38</v>
      </c>
      <c r="U176" s="33">
        <f t="shared" si="38"/>
        <v>86</v>
      </c>
      <c r="V176" s="26">
        <v>44</v>
      </c>
      <c r="W176" s="26">
        <v>40</v>
      </c>
      <c r="X176" s="33">
        <f t="shared" si="39"/>
        <v>84</v>
      </c>
      <c r="Y176" s="26"/>
      <c r="Z176" s="26"/>
      <c r="AA176" s="26"/>
      <c r="AB176" s="33">
        <f t="shared" si="40"/>
        <v>575</v>
      </c>
      <c r="AC176" s="26" t="s">
        <v>117</v>
      </c>
      <c r="AD176" s="29"/>
    </row>
    <row r="177" spans="2:31" ht="15.6" x14ac:dyDescent="0.3">
      <c r="B177" s="26">
        <v>59</v>
      </c>
      <c r="C177" s="27" t="s">
        <v>217</v>
      </c>
      <c r="D177" s="26">
        <v>35</v>
      </c>
      <c r="E177" s="26">
        <v>22</v>
      </c>
      <c r="F177" s="33">
        <f t="shared" si="33"/>
        <v>57</v>
      </c>
      <c r="G177" s="26">
        <v>25</v>
      </c>
      <c r="H177" s="26">
        <v>31</v>
      </c>
      <c r="I177" s="33">
        <f t="shared" si="34"/>
        <v>56</v>
      </c>
      <c r="J177" s="26">
        <v>31</v>
      </c>
      <c r="K177" s="26">
        <v>26</v>
      </c>
      <c r="L177" s="33">
        <f t="shared" si="35"/>
        <v>57</v>
      </c>
      <c r="M177" s="26">
        <v>31</v>
      </c>
      <c r="N177" s="26">
        <v>25</v>
      </c>
      <c r="O177" s="33">
        <f t="shared" si="36"/>
        <v>56</v>
      </c>
      <c r="P177" s="26">
        <v>36</v>
      </c>
      <c r="Q177" s="26">
        <v>27</v>
      </c>
      <c r="R177" s="33">
        <f t="shared" si="37"/>
        <v>63</v>
      </c>
      <c r="S177" s="26">
        <v>29</v>
      </c>
      <c r="T177" s="26">
        <v>33</v>
      </c>
      <c r="U177" s="33">
        <f t="shared" si="38"/>
        <v>62</v>
      </c>
      <c r="V177" s="26">
        <v>28</v>
      </c>
      <c r="W177" s="26">
        <v>34</v>
      </c>
      <c r="X177" s="33">
        <f t="shared" si="39"/>
        <v>62</v>
      </c>
      <c r="Y177" s="26"/>
      <c r="Z177" s="26"/>
      <c r="AA177" s="26"/>
      <c r="AB177" s="33">
        <f t="shared" si="40"/>
        <v>413</v>
      </c>
      <c r="AC177" s="26" t="s">
        <v>117</v>
      </c>
      <c r="AD177" s="29"/>
    </row>
    <row r="178" spans="2:31" ht="15.6" x14ac:dyDescent="0.3">
      <c r="B178" s="26">
        <v>60</v>
      </c>
      <c r="C178" s="27" t="s">
        <v>598</v>
      </c>
      <c r="D178" s="26">
        <v>50</v>
      </c>
      <c r="E178" s="26">
        <v>50</v>
      </c>
      <c r="F178" s="33">
        <f t="shared" si="33"/>
        <v>100</v>
      </c>
      <c r="G178" s="26">
        <v>48</v>
      </c>
      <c r="H178" s="26">
        <v>50</v>
      </c>
      <c r="I178" s="33">
        <f t="shared" si="34"/>
        <v>98</v>
      </c>
      <c r="J178" s="26">
        <v>50</v>
      </c>
      <c r="K178" s="26">
        <v>50</v>
      </c>
      <c r="L178" s="33">
        <f t="shared" si="35"/>
        <v>100</v>
      </c>
      <c r="M178" s="26">
        <v>50</v>
      </c>
      <c r="N178" s="26">
        <v>50</v>
      </c>
      <c r="O178" s="33">
        <f t="shared" si="36"/>
        <v>100</v>
      </c>
      <c r="P178" s="26">
        <v>50</v>
      </c>
      <c r="Q178" s="26">
        <v>49</v>
      </c>
      <c r="R178" s="33">
        <f t="shared" si="37"/>
        <v>99</v>
      </c>
      <c r="S178" s="26">
        <v>50</v>
      </c>
      <c r="T178" s="26">
        <v>50</v>
      </c>
      <c r="U178" s="33">
        <f t="shared" si="38"/>
        <v>100</v>
      </c>
      <c r="V178" s="26">
        <v>50</v>
      </c>
      <c r="W178" s="26">
        <v>49</v>
      </c>
      <c r="X178" s="33">
        <f t="shared" si="39"/>
        <v>99</v>
      </c>
      <c r="Y178" s="26"/>
      <c r="Z178" s="26"/>
      <c r="AA178" s="26"/>
      <c r="AB178" s="33">
        <f t="shared" si="40"/>
        <v>696</v>
      </c>
      <c r="AC178" s="26" t="s">
        <v>117</v>
      </c>
      <c r="AD178" s="29"/>
    </row>
    <row r="179" spans="2:31" ht="15.6" x14ac:dyDescent="0.3">
      <c r="B179" s="3" t="s">
        <v>219</v>
      </c>
      <c r="C179" s="11"/>
      <c r="D179" s="8"/>
      <c r="E179" s="8"/>
      <c r="F179" s="8"/>
      <c r="G179" s="22"/>
      <c r="H179" s="22" t="s">
        <v>468</v>
      </c>
      <c r="I179" s="22"/>
      <c r="J179" s="22"/>
      <c r="K179" s="22"/>
      <c r="L179" s="22"/>
      <c r="M179" s="22"/>
      <c r="N179" s="22"/>
      <c r="O179" s="22"/>
      <c r="P179" s="22" t="s">
        <v>82</v>
      </c>
      <c r="Q179" s="22"/>
      <c r="R179" s="22"/>
      <c r="S179" s="22"/>
      <c r="T179" s="22"/>
      <c r="U179" s="22"/>
      <c r="V179" s="22" t="s">
        <v>83</v>
      </c>
      <c r="W179" s="22"/>
      <c r="X179" s="22"/>
      <c r="Y179" s="22"/>
      <c r="Z179" s="22"/>
      <c r="AA179" s="9"/>
      <c r="AB179" s="10"/>
      <c r="AC179" s="5" t="s">
        <v>84</v>
      </c>
      <c r="AD179" s="5"/>
    </row>
    <row r="180" spans="2:31" x14ac:dyDescent="0.25">
      <c r="B180" s="3" t="s">
        <v>89</v>
      </c>
      <c r="C180" s="3"/>
      <c r="D180" s="3"/>
      <c r="E180" s="3"/>
      <c r="F180" s="3"/>
      <c r="G180" s="22" t="s">
        <v>90</v>
      </c>
      <c r="H180" s="22"/>
      <c r="I180" s="22"/>
      <c r="J180" s="22"/>
      <c r="K180" s="22"/>
      <c r="L180" s="22"/>
      <c r="M180" s="22"/>
      <c r="N180" s="22"/>
      <c r="O180" s="22" t="s">
        <v>462</v>
      </c>
      <c r="P180" s="22"/>
      <c r="Q180" s="22"/>
      <c r="R180" s="22"/>
      <c r="S180" s="22"/>
      <c r="T180" s="22"/>
      <c r="U180" s="22" t="s">
        <v>463</v>
      </c>
      <c r="V180" s="22"/>
      <c r="W180" s="22"/>
      <c r="X180" s="22"/>
      <c r="Y180" s="22"/>
      <c r="Z180" s="22"/>
      <c r="AA180" s="3"/>
      <c r="AB180" s="3"/>
      <c r="AC180" s="3" t="s">
        <v>85</v>
      </c>
      <c r="AD180" s="3"/>
    </row>
    <row r="181" spans="2:31" x14ac:dyDescent="0.25">
      <c r="B181" s="3" t="s">
        <v>466</v>
      </c>
      <c r="C181" s="3"/>
      <c r="D181" s="3"/>
      <c r="E181" s="3"/>
      <c r="F181" s="3"/>
      <c r="G181" s="22" t="s">
        <v>91</v>
      </c>
      <c r="H181" s="22"/>
      <c r="I181" s="22"/>
      <c r="J181" s="22"/>
      <c r="K181" s="22"/>
      <c r="L181" s="22"/>
      <c r="M181" s="22"/>
      <c r="N181" s="22"/>
      <c r="O181" s="22" t="s">
        <v>94</v>
      </c>
      <c r="P181" s="22"/>
      <c r="Q181" s="22"/>
      <c r="R181" s="22"/>
      <c r="S181" s="22"/>
      <c r="T181" s="22"/>
      <c r="U181" s="22" t="s">
        <v>97</v>
      </c>
      <c r="V181" s="22"/>
      <c r="W181" s="22"/>
      <c r="X181" s="22"/>
      <c r="Y181" s="22"/>
      <c r="Z181" s="22"/>
      <c r="AA181" s="3"/>
      <c r="AB181" s="3"/>
      <c r="AC181" s="3" t="s">
        <v>99</v>
      </c>
      <c r="AD181" s="3"/>
    </row>
    <row r="182" spans="2:31" x14ac:dyDescent="0.25">
      <c r="B182" s="3" t="s">
        <v>89</v>
      </c>
      <c r="C182" s="3"/>
      <c r="D182" s="3"/>
      <c r="E182" s="3"/>
      <c r="F182" s="3"/>
      <c r="G182" s="22" t="s">
        <v>92</v>
      </c>
      <c r="H182" s="22"/>
      <c r="I182" s="22"/>
      <c r="J182" s="22"/>
      <c r="K182" s="22"/>
      <c r="L182" s="22"/>
      <c r="M182" s="22"/>
      <c r="N182" s="22"/>
      <c r="O182" s="22" t="s">
        <v>95</v>
      </c>
      <c r="P182" s="22"/>
      <c r="Q182" s="22"/>
      <c r="R182" s="22"/>
      <c r="S182" s="22"/>
      <c r="T182" s="22"/>
      <c r="U182" s="22" t="s">
        <v>98</v>
      </c>
      <c r="V182" s="22"/>
      <c r="W182" s="22"/>
      <c r="X182" s="22"/>
      <c r="Y182" s="22"/>
      <c r="Z182" s="22"/>
      <c r="AA182" s="3"/>
    </row>
    <row r="187" spans="2:31" ht="15.6" x14ac:dyDescent="0.3">
      <c r="B187" s="6"/>
      <c r="C187" s="15" t="s">
        <v>494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 t="s">
        <v>467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5" t="s">
        <v>456</v>
      </c>
      <c r="AD187" s="6"/>
      <c r="AE187" s="6"/>
    </row>
    <row r="188" spans="2:31" ht="15.6" x14ac:dyDescent="0.3">
      <c r="B188" s="6"/>
      <c r="C188" s="15" t="s">
        <v>81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5" t="s">
        <v>100</v>
      </c>
      <c r="AD188" s="5"/>
      <c r="AE188" s="6"/>
    </row>
    <row r="189" spans="2:31" ht="15.6" x14ac:dyDescent="0.3">
      <c r="B189" s="6"/>
      <c r="C189" s="15" t="s">
        <v>459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5" t="s">
        <v>225</v>
      </c>
      <c r="AD189" s="5"/>
      <c r="AE189" s="6"/>
    </row>
    <row r="190" spans="2:31" ht="15.6" x14ac:dyDescent="0.3">
      <c r="B190" s="6"/>
      <c r="C190" s="15" t="s">
        <v>460</v>
      </c>
      <c r="D190" s="6"/>
      <c r="E190" s="6"/>
      <c r="F190" s="6"/>
      <c r="G190" s="6"/>
      <c r="H190" s="6"/>
      <c r="I190" s="6"/>
      <c r="J190" s="6"/>
      <c r="K190" s="6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5" t="s">
        <v>226</v>
      </c>
      <c r="AD190" s="5"/>
      <c r="AE190" s="6"/>
    </row>
    <row r="191" spans="2:31" ht="15.6" x14ac:dyDescent="0.3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5" t="s">
        <v>521</v>
      </c>
      <c r="AD191" s="5"/>
      <c r="AE191" s="6"/>
    </row>
    <row r="192" spans="2:31" ht="15.6" x14ac:dyDescent="0.3">
      <c r="B192" s="6"/>
      <c r="C192" s="6"/>
      <c r="D192" s="5" t="s">
        <v>519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5"/>
      <c r="AD192" s="5"/>
      <c r="AE192" s="6"/>
    </row>
    <row r="193" spans="2:30" ht="15.6" x14ac:dyDescent="0.3">
      <c r="B193" s="57" t="s">
        <v>0</v>
      </c>
      <c r="C193" s="66" t="s">
        <v>469</v>
      </c>
      <c r="D193" s="60" t="s">
        <v>458</v>
      </c>
      <c r="E193" s="61"/>
      <c r="F193" s="62"/>
      <c r="G193" s="60" t="s">
        <v>1</v>
      </c>
      <c r="H193" s="61"/>
      <c r="I193" s="62"/>
      <c r="J193" s="60" t="s">
        <v>2</v>
      </c>
      <c r="K193" s="61"/>
      <c r="L193" s="62"/>
      <c r="M193" s="60" t="s">
        <v>8</v>
      </c>
      <c r="N193" s="61"/>
      <c r="O193" s="62"/>
      <c r="P193" s="60" t="s">
        <v>3</v>
      </c>
      <c r="Q193" s="61"/>
      <c r="R193" s="62"/>
      <c r="S193" s="31"/>
      <c r="T193" s="31" t="s">
        <v>4</v>
      </c>
      <c r="U193" s="31"/>
      <c r="V193" s="60" t="s">
        <v>5</v>
      </c>
      <c r="W193" s="61"/>
      <c r="X193" s="62"/>
      <c r="Y193" s="57" t="s">
        <v>16</v>
      </c>
      <c r="Z193" s="57" t="s">
        <v>17</v>
      </c>
      <c r="AA193" s="57" t="s">
        <v>18</v>
      </c>
      <c r="AB193" s="57" t="s">
        <v>19</v>
      </c>
      <c r="AC193" s="57" t="s">
        <v>20</v>
      </c>
      <c r="AD193" s="57" t="s">
        <v>21</v>
      </c>
    </row>
    <row r="194" spans="2:30" ht="55.2" x14ac:dyDescent="0.25">
      <c r="B194" s="58"/>
      <c r="C194" s="67"/>
      <c r="D194" s="32" t="s">
        <v>6</v>
      </c>
      <c r="E194" s="32" t="s">
        <v>461</v>
      </c>
      <c r="F194" s="32" t="s">
        <v>7</v>
      </c>
      <c r="G194" s="32" t="s">
        <v>6</v>
      </c>
      <c r="H194" s="32" t="s">
        <v>461</v>
      </c>
      <c r="I194" s="32" t="s">
        <v>7</v>
      </c>
      <c r="J194" s="32" t="s">
        <v>6</v>
      </c>
      <c r="K194" s="32" t="s">
        <v>461</v>
      </c>
      <c r="L194" s="32" t="s">
        <v>7</v>
      </c>
      <c r="M194" s="32" t="s">
        <v>6</v>
      </c>
      <c r="N194" s="32" t="s">
        <v>461</v>
      </c>
      <c r="O194" s="32" t="s">
        <v>7</v>
      </c>
      <c r="P194" s="32" t="s">
        <v>6</v>
      </c>
      <c r="Q194" s="32" t="s">
        <v>461</v>
      </c>
      <c r="R194" s="32" t="s">
        <v>7</v>
      </c>
      <c r="S194" s="32" t="s">
        <v>6</v>
      </c>
      <c r="T194" s="32" t="s">
        <v>461</v>
      </c>
      <c r="U194" s="32" t="s">
        <v>7</v>
      </c>
      <c r="V194" s="32" t="s">
        <v>6</v>
      </c>
      <c r="W194" s="32" t="s">
        <v>461</v>
      </c>
      <c r="X194" s="32" t="s">
        <v>7</v>
      </c>
      <c r="Y194" s="58"/>
      <c r="Z194" s="58"/>
      <c r="AA194" s="58"/>
      <c r="AB194" s="58"/>
      <c r="AC194" s="58"/>
      <c r="AD194" s="58"/>
    </row>
    <row r="195" spans="2:30" ht="15.6" x14ac:dyDescent="0.3">
      <c r="B195" s="59"/>
      <c r="C195" s="68"/>
      <c r="D195" s="33">
        <v>50</v>
      </c>
      <c r="E195" s="33">
        <v>50</v>
      </c>
      <c r="F195" s="33">
        <v>100</v>
      </c>
      <c r="G195" s="33">
        <v>50</v>
      </c>
      <c r="H195" s="33">
        <v>50</v>
      </c>
      <c r="I195" s="33">
        <v>100</v>
      </c>
      <c r="J195" s="33">
        <v>50</v>
      </c>
      <c r="K195" s="33">
        <v>50</v>
      </c>
      <c r="L195" s="33">
        <v>100</v>
      </c>
      <c r="M195" s="33">
        <v>50</v>
      </c>
      <c r="N195" s="33">
        <v>50</v>
      </c>
      <c r="O195" s="33">
        <v>100</v>
      </c>
      <c r="P195" s="33">
        <v>50</v>
      </c>
      <c r="Q195" s="33">
        <v>50</v>
      </c>
      <c r="R195" s="33">
        <v>100</v>
      </c>
      <c r="S195" s="33">
        <v>50</v>
      </c>
      <c r="T195" s="33">
        <v>50</v>
      </c>
      <c r="U195" s="33">
        <v>100</v>
      </c>
      <c r="V195" s="33">
        <v>50</v>
      </c>
      <c r="W195" s="33">
        <v>50</v>
      </c>
      <c r="X195" s="33">
        <v>100</v>
      </c>
      <c r="Y195" s="59"/>
      <c r="Z195" s="59"/>
      <c r="AA195" s="59"/>
      <c r="AB195" s="59"/>
      <c r="AC195" s="59"/>
      <c r="AD195" s="59"/>
    </row>
    <row r="196" spans="2:30" ht="15.6" x14ac:dyDescent="0.3">
      <c r="B196" s="26">
        <v>61</v>
      </c>
      <c r="C196" s="27" t="s">
        <v>221</v>
      </c>
      <c r="D196" s="26">
        <v>22</v>
      </c>
      <c r="E196" s="26">
        <v>30</v>
      </c>
      <c r="F196" s="33">
        <f>SUM(D196:E196)</f>
        <v>52</v>
      </c>
      <c r="G196" s="26">
        <v>24</v>
      </c>
      <c r="H196" s="26">
        <v>31</v>
      </c>
      <c r="I196" s="33">
        <f>SUM(G196:H196)</f>
        <v>55</v>
      </c>
      <c r="J196" s="26">
        <v>25</v>
      </c>
      <c r="K196" s="26">
        <v>25</v>
      </c>
      <c r="L196" s="33">
        <f>SUM(J196:K196)</f>
        <v>50</v>
      </c>
      <c r="M196" s="26">
        <v>26</v>
      </c>
      <c r="N196" s="26">
        <v>25</v>
      </c>
      <c r="O196" s="33">
        <f>SUM(M196:N196)</f>
        <v>51</v>
      </c>
      <c r="P196" s="26">
        <v>44</v>
      </c>
      <c r="Q196" s="26">
        <v>18</v>
      </c>
      <c r="R196" s="33">
        <f>SUM(P196:Q196)</f>
        <v>62</v>
      </c>
      <c r="S196" s="26">
        <v>23</v>
      </c>
      <c r="T196" s="26">
        <v>29</v>
      </c>
      <c r="U196" s="33">
        <f>SUM(S196:T196)</f>
        <v>52</v>
      </c>
      <c r="V196" s="26">
        <v>24</v>
      </c>
      <c r="W196" s="26">
        <v>32</v>
      </c>
      <c r="X196" s="34">
        <f>SUM(V196:W196)</f>
        <v>56</v>
      </c>
      <c r="Y196" s="30"/>
      <c r="Z196" s="30"/>
      <c r="AA196" s="30"/>
      <c r="AB196" s="34">
        <f>SUM(X196,U196,R196,O196,L196,I196,F196)</f>
        <v>378</v>
      </c>
      <c r="AC196" s="26" t="s">
        <v>117</v>
      </c>
      <c r="AD196" s="28"/>
    </row>
    <row r="197" spans="2:30" ht="15.6" x14ac:dyDescent="0.3">
      <c r="B197" s="26">
        <v>62</v>
      </c>
      <c r="C197" s="27" t="s">
        <v>222</v>
      </c>
      <c r="D197" s="26">
        <v>49</v>
      </c>
      <c r="E197" s="26">
        <v>47</v>
      </c>
      <c r="F197" s="33">
        <f>SUM(D197:E197)</f>
        <v>96</v>
      </c>
      <c r="G197" s="26">
        <v>48</v>
      </c>
      <c r="H197" s="26">
        <v>50</v>
      </c>
      <c r="I197" s="33">
        <f>SUM(G197:H197)</f>
        <v>98</v>
      </c>
      <c r="J197" s="26">
        <v>38</v>
      </c>
      <c r="K197" s="26">
        <v>47</v>
      </c>
      <c r="L197" s="33">
        <f>SUM(J197:K197)</f>
        <v>85</v>
      </c>
      <c r="M197" s="26">
        <v>50</v>
      </c>
      <c r="N197" s="26">
        <v>45</v>
      </c>
      <c r="O197" s="33">
        <f>SUM(M197:N197)</f>
        <v>95</v>
      </c>
      <c r="P197" s="26">
        <v>45</v>
      </c>
      <c r="Q197" s="26">
        <v>42</v>
      </c>
      <c r="R197" s="33">
        <f>SUM(P197:Q197)</f>
        <v>87</v>
      </c>
      <c r="S197" s="26">
        <v>50</v>
      </c>
      <c r="T197" s="26">
        <v>50</v>
      </c>
      <c r="U197" s="33">
        <f>SUM(S197:T197)</f>
        <v>100</v>
      </c>
      <c r="V197" s="26">
        <v>45</v>
      </c>
      <c r="W197" s="26">
        <v>50</v>
      </c>
      <c r="X197" s="34">
        <f>SUM(V197:W197)</f>
        <v>95</v>
      </c>
      <c r="Y197" s="30"/>
      <c r="Z197" s="30"/>
      <c r="AA197" s="30"/>
      <c r="AB197" s="34">
        <f>SUM(X197,U197,R197,O197,L197,I197,F197)</f>
        <v>656</v>
      </c>
      <c r="AC197" s="26" t="s">
        <v>117</v>
      </c>
      <c r="AD197" s="28"/>
    </row>
    <row r="198" spans="2:30" ht="15.6" x14ac:dyDescent="0.3">
      <c r="B198" s="26">
        <v>63</v>
      </c>
      <c r="C198" s="27" t="s">
        <v>223</v>
      </c>
      <c r="D198" s="26">
        <v>50</v>
      </c>
      <c r="E198" s="26">
        <v>49</v>
      </c>
      <c r="F198" s="33">
        <f>SUM(D198:E198)</f>
        <v>99</v>
      </c>
      <c r="G198" s="26">
        <v>49</v>
      </c>
      <c r="H198" s="26">
        <v>50</v>
      </c>
      <c r="I198" s="33">
        <f>SUM(G198:H198)</f>
        <v>99</v>
      </c>
      <c r="J198" s="26">
        <v>48</v>
      </c>
      <c r="K198" s="26">
        <v>27</v>
      </c>
      <c r="L198" s="33">
        <f>SUM(J198:K198)</f>
        <v>75</v>
      </c>
      <c r="M198" s="26">
        <v>49</v>
      </c>
      <c r="N198" s="26">
        <v>50</v>
      </c>
      <c r="O198" s="33">
        <f>SUM(M198:N198)</f>
        <v>99</v>
      </c>
      <c r="P198" s="26">
        <v>42</v>
      </c>
      <c r="Q198" s="26">
        <v>41</v>
      </c>
      <c r="R198" s="33">
        <f>SUM(P198:Q198)</f>
        <v>83</v>
      </c>
      <c r="S198" s="26">
        <v>50</v>
      </c>
      <c r="T198" s="26">
        <v>49</v>
      </c>
      <c r="U198" s="33">
        <f>SUM(S198:T198)</f>
        <v>99</v>
      </c>
      <c r="V198" s="26">
        <v>43</v>
      </c>
      <c r="W198" s="26">
        <v>47</v>
      </c>
      <c r="X198" s="34">
        <f>SUM(V198:W198)</f>
        <v>90</v>
      </c>
      <c r="Y198" s="30"/>
      <c r="Z198" s="30"/>
      <c r="AA198" s="30"/>
      <c r="AB198" s="34">
        <f>SUM(X198,U198,R198,O198,L198,I198,F198)</f>
        <v>644</v>
      </c>
      <c r="AC198" s="26" t="s">
        <v>117</v>
      </c>
      <c r="AD198" s="28"/>
    </row>
    <row r="199" spans="2:30" ht="15.6" x14ac:dyDescent="0.3">
      <c r="B199" s="26">
        <v>64</v>
      </c>
      <c r="C199" s="27" t="s">
        <v>224</v>
      </c>
      <c r="D199" s="26">
        <v>28</v>
      </c>
      <c r="E199" s="26">
        <v>26</v>
      </c>
      <c r="F199" s="33">
        <f>SUM(D199:E199)</f>
        <v>54</v>
      </c>
      <c r="G199" s="26">
        <v>25</v>
      </c>
      <c r="H199" s="26">
        <v>33</v>
      </c>
      <c r="I199" s="33">
        <f>SUM(G199:H199)</f>
        <v>58</v>
      </c>
      <c r="J199" s="26">
        <v>26</v>
      </c>
      <c r="K199" s="26">
        <v>25</v>
      </c>
      <c r="L199" s="33">
        <f>SUM(J199:K199)</f>
        <v>51</v>
      </c>
      <c r="M199" s="26">
        <v>36</v>
      </c>
      <c r="N199" s="26">
        <v>40</v>
      </c>
      <c r="O199" s="33">
        <f>SUM(M199:N199)</f>
        <v>76</v>
      </c>
      <c r="P199" s="26">
        <v>33</v>
      </c>
      <c r="Q199" s="26">
        <v>22</v>
      </c>
      <c r="R199" s="33">
        <f>SUM(P199:Q199)</f>
        <v>55</v>
      </c>
      <c r="S199" s="26">
        <v>26</v>
      </c>
      <c r="T199" s="26">
        <v>39</v>
      </c>
      <c r="U199" s="33">
        <f>SUM(S199:T199)</f>
        <v>65</v>
      </c>
      <c r="V199" s="26">
        <v>32</v>
      </c>
      <c r="W199" s="26">
        <v>33</v>
      </c>
      <c r="X199" s="34">
        <f>SUM(V199:W199)</f>
        <v>65</v>
      </c>
      <c r="Y199" s="30"/>
      <c r="Z199" s="30"/>
      <c r="AA199" s="30"/>
      <c r="AB199" s="34">
        <f>SUM(X199,U199,R199,O199,L199,I199,F199)</f>
        <v>424</v>
      </c>
      <c r="AC199" s="26" t="s">
        <v>117</v>
      </c>
      <c r="AD199" s="28"/>
    </row>
    <row r="200" spans="2:30" ht="15.6" x14ac:dyDescent="0.3">
      <c r="B200" s="26"/>
      <c r="C200" s="27"/>
      <c r="D200" s="26"/>
      <c r="E200" s="26"/>
      <c r="F200" s="33"/>
      <c r="G200" s="26"/>
      <c r="H200" s="26"/>
      <c r="I200" s="33"/>
      <c r="J200" s="26"/>
      <c r="K200" s="26"/>
      <c r="L200" s="33"/>
      <c r="M200" s="26"/>
      <c r="N200" s="26"/>
      <c r="O200" s="33"/>
      <c r="P200" s="26"/>
      <c r="Q200" s="26"/>
      <c r="R200" s="33"/>
      <c r="S200" s="26"/>
      <c r="T200" s="26"/>
      <c r="U200" s="33"/>
      <c r="V200" s="26"/>
      <c r="W200" s="26"/>
      <c r="X200" s="34"/>
      <c r="Y200" s="30"/>
      <c r="Z200" s="30"/>
      <c r="AA200" s="30"/>
      <c r="AB200" s="34"/>
      <c r="AC200" s="26"/>
      <c r="AD200" s="28"/>
    </row>
    <row r="201" spans="2:30" ht="15.6" x14ac:dyDescent="0.3">
      <c r="B201" s="26"/>
      <c r="C201" s="27"/>
      <c r="D201" s="26"/>
      <c r="E201" s="26"/>
      <c r="F201" s="33"/>
      <c r="G201" s="26"/>
      <c r="H201" s="26"/>
      <c r="I201" s="33"/>
      <c r="J201" s="26"/>
      <c r="K201" s="26"/>
      <c r="L201" s="33"/>
      <c r="M201" s="26"/>
      <c r="N201" s="26"/>
      <c r="O201" s="33"/>
      <c r="P201" s="26"/>
      <c r="Q201" s="26"/>
      <c r="R201" s="33"/>
      <c r="S201" s="26"/>
      <c r="T201" s="26"/>
      <c r="U201" s="33"/>
      <c r="V201" s="26"/>
      <c r="W201" s="26"/>
      <c r="X201" s="34"/>
      <c r="Y201" s="30"/>
      <c r="Z201" s="30"/>
      <c r="AA201" s="30"/>
      <c r="AB201" s="34"/>
      <c r="AC201" s="26"/>
      <c r="AD201" s="28"/>
    </row>
    <row r="202" spans="2:30" ht="15.6" x14ac:dyDescent="0.3">
      <c r="B202" s="26"/>
      <c r="C202" s="27"/>
      <c r="D202" s="26"/>
      <c r="E202" s="26"/>
      <c r="F202" s="33"/>
      <c r="G202" s="26"/>
      <c r="H202" s="26"/>
      <c r="I202" s="33"/>
      <c r="J202" s="26"/>
      <c r="K202" s="26"/>
      <c r="L202" s="33"/>
      <c r="M202" s="26"/>
      <c r="N202" s="26"/>
      <c r="O202" s="33"/>
      <c r="P202" s="26"/>
      <c r="Q202" s="26"/>
      <c r="R202" s="33"/>
      <c r="S202" s="26"/>
      <c r="T202" s="26"/>
      <c r="U202" s="33"/>
      <c r="V202" s="26"/>
      <c r="W202" s="26"/>
      <c r="X202" s="34"/>
      <c r="Y202" s="30"/>
      <c r="Z202" s="30"/>
      <c r="AA202" s="30"/>
      <c r="AB202" s="34"/>
      <c r="AC202" s="30"/>
      <c r="AD202" s="28"/>
    </row>
    <row r="203" spans="2:30" ht="15.6" x14ac:dyDescent="0.3">
      <c r="B203" s="26"/>
      <c r="C203" s="27"/>
      <c r="D203" s="26"/>
      <c r="E203" s="26"/>
      <c r="F203" s="33"/>
      <c r="G203" s="26"/>
      <c r="H203" s="26"/>
      <c r="I203" s="33"/>
      <c r="J203" s="26"/>
      <c r="K203" s="26"/>
      <c r="L203" s="33"/>
      <c r="M203" s="26"/>
      <c r="N203" s="26"/>
      <c r="O203" s="33"/>
      <c r="P203" s="26"/>
      <c r="Q203" s="26"/>
      <c r="R203" s="33"/>
      <c r="S203" s="26"/>
      <c r="T203" s="26"/>
      <c r="U203" s="33"/>
      <c r="V203" s="26"/>
      <c r="W203" s="26"/>
      <c r="X203" s="34"/>
      <c r="Y203" s="30"/>
      <c r="Z203" s="30"/>
      <c r="AA203" s="30"/>
      <c r="AB203" s="34"/>
      <c r="AC203" s="30"/>
      <c r="AD203" s="28"/>
    </row>
    <row r="204" spans="2:30" ht="15.6" x14ac:dyDescent="0.3">
      <c r="B204" s="26"/>
      <c r="C204" s="27"/>
      <c r="D204" s="26"/>
      <c r="E204" s="26"/>
      <c r="F204" s="33"/>
      <c r="G204" s="26"/>
      <c r="H204" s="26"/>
      <c r="I204" s="33"/>
      <c r="J204" s="26"/>
      <c r="K204" s="26"/>
      <c r="L204" s="33"/>
      <c r="M204" s="26"/>
      <c r="N204" s="26"/>
      <c r="O204" s="33"/>
      <c r="P204" s="26"/>
      <c r="Q204" s="26"/>
      <c r="R204" s="33"/>
      <c r="S204" s="26"/>
      <c r="T204" s="26"/>
      <c r="U204" s="33"/>
      <c r="V204" s="26"/>
      <c r="W204" s="26"/>
      <c r="X204" s="34"/>
      <c r="Y204" s="30"/>
      <c r="Z204" s="30"/>
      <c r="AA204" s="30"/>
      <c r="AB204" s="34"/>
      <c r="AC204" s="30"/>
      <c r="AD204" s="28"/>
    </row>
    <row r="205" spans="2:30" ht="15.6" x14ac:dyDescent="0.3">
      <c r="B205" s="26"/>
      <c r="C205" s="27"/>
      <c r="D205" s="26"/>
      <c r="E205" s="26"/>
      <c r="F205" s="33"/>
      <c r="G205" s="26"/>
      <c r="H205" s="26"/>
      <c r="I205" s="33"/>
      <c r="J205" s="26"/>
      <c r="K205" s="26"/>
      <c r="L205" s="33"/>
      <c r="M205" s="26"/>
      <c r="N205" s="26"/>
      <c r="O205" s="33"/>
      <c r="P205" s="26"/>
      <c r="Q205" s="26"/>
      <c r="R205" s="33"/>
      <c r="S205" s="26"/>
      <c r="T205" s="26"/>
      <c r="U205" s="33"/>
      <c r="V205" s="26"/>
      <c r="W205" s="26"/>
      <c r="X205" s="34"/>
      <c r="Y205" s="30"/>
      <c r="Z205" s="30"/>
      <c r="AA205" s="30"/>
      <c r="AB205" s="34"/>
      <c r="AC205" s="30"/>
      <c r="AD205" s="28"/>
    </row>
    <row r="206" spans="2:30" ht="15.6" x14ac:dyDescent="0.3">
      <c r="B206" s="26"/>
      <c r="C206" s="27"/>
      <c r="D206" s="26"/>
      <c r="E206" s="26"/>
      <c r="F206" s="33"/>
      <c r="G206" s="26"/>
      <c r="H206" s="26"/>
      <c r="I206" s="33"/>
      <c r="J206" s="26"/>
      <c r="K206" s="26"/>
      <c r="L206" s="33"/>
      <c r="M206" s="26"/>
      <c r="N206" s="26"/>
      <c r="O206" s="33"/>
      <c r="P206" s="26"/>
      <c r="Q206" s="26"/>
      <c r="R206" s="33"/>
      <c r="S206" s="26"/>
      <c r="T206" s="26"/>
      <c r="U206" s="33"/>
      <c r="V206" s="26"/>
      <c r="W206" s="26"/>
      <c r="X206" s="34"/>
      <c r="Y206" s="30"/>
      <c r="Z206" s="30"/>
      <c r="AA206" s="30"/>
      <c r="AB206" s="34"/>
      <c r="AC206" s="30"/>
      <c r="AD206" s="28"/>
    </row>
    <row r="207" spans="2:30" ht="15.6" x14ac:dyDescent="0.3">
      <c r="B207" s="26"/>
      <c r="C207" s="27"/>
      <c r="D207" s="26"/>
      <c r="E207" s="26"/>
      <c r="F207" s="33"/>
      <c r="G207" s="26"/>
      <c r="H207" s="26"/>
      <c r="I207" s="33"/>
      <c r="J207" s="26"/>
      <c r="K207" s="26"/>
      <c r="L207" s="33"/>
      <c r="M207" s="26"/>
      <c r="N207" s="26"/>
      <c r="O207" s="33"/>
      <c r="P207" s="26"/>
      <c r="Q207" s="26"/>
      <c r="R207" s="33"/>
      <c r="S207" s="26"/>
      <c r="T207" s="26"/>
      <c r="U207" s="33"/>
      <c r="V207" s="26"/>
      <c r="W207" s="26"/>
      <c r="X207" s="34"/>
      <c r="Y207" s="30"/>
      <c r="Z207" s="30"/>
      <c r="AA207" s="30"/>
      <c r="AB207" s="34"/>
      <c r="AC207" s="30"/>
      <c r="AD207" s="28"/>
    </row>
    <row r="208" spans="2:30" ht="15.6" x14ac:dyDescent="0.3">
      <c r="B208" s="26"/>
      <c r="C208" s="27"/>
      <c r="D208" s="26"/>
      <c r="E208" s="26"/>
      <c r="F208" s="33"/>
      <c r="G208" s="26"/>
      <c r="H208" s="26"/>
      <c r="I208" s="33"/>
      <c r="J208" s="26"/>
      <c r="K208" s="26"/>
      <c r="L208" s="33"/>
      <c r="M208" s="26"/>
      <c r="N208" s="26"/>
      <c r="O208" s="33"/>
      <c r="P208" s="26"/>
      <c r="Q208" s="26"/>
      <c r="R208" s="33"/>
      <c r="S208" s="26"/>
      <c r="T208" s="26"/>
      <c r="U208" s="33"/>
      <c r="V208" s="26"/>
      <c r="W208" s="26"/>
      <c r="X208" s="34"/>
      <c r="Y208" s="30"/>
      <c r="Z208" s="30"/>
      <c r="AA208" s="30"/>
      <c r="AB208" s="34"/>
      <c r="AC208" s="30"/>
      <c r="AD208" s="28"/>
    </row>
    <row r="209" spans="2:30" ht="15.6" x14ac:dyDescent="0.3">
      <c r="B209" s="26"/>
      <c r="C209" s="27"/>
      <c r="D209" s="26"/>
      <c r="E209" s="26"/>
      <c r="F209" s="33"/>
      <c r="G209" s="26"/>
      <c r="H209" s="26"/>
      <c r="I209" s="33"/>
      <c r="J209" s="26"/>
      <c r="K209" s="26"/>
      <c r="L209" s="33"/>
      <c r="M209" s="26"/>
      <c r="N209" s="26"/>
      <c r="O209" s="33"/>
      <c r="P209" s="26"/>
      <c r="Q209" s="26"/>
      <c r="R209" s="33"/>
      <c r="S209" s="26"/>
      <c r="T209" s="26"/>
      <c r="U209" s="33"/>
      <c r="V209" s="26"/>
      <c r="W209" s="26"/>
      <c r="X209" s="34"/>
      <c r="Y209" s="30"/>
      <c r="Z209" s="30"/>
      <c r="AA209" s="30"/>
      <c r="AB209" s="34"/>
      <c r="AC209" s="30"/>
      <c r="AD209" s="28"/>
    </row>
    <row r="210" spans="2:30" ht="15.6" x14ac:dyDescent="0.3">
      <c r="B210" s="26"/>
      <c r="C210" s="27"/>
      <c r="D210" s="26"/>
      <c r="E210" s="26"/>
      <c r="F210" s="33"/>
      <c r="G210" s="26"/>
      <c r="H210" s="26"/>
      <c r="I210" s="33"/>
      <c r="J210" s="26"/>
      <c r="K210" s="26"/>
      <c r="L210" s="33"/>
      <c r="M210" s="26"/>
      <c r="N210" s="26"/>
      <c r="O210" s="33"/>
      <c r="P210" s="26"/>
      <c r="Q210" s="26"/>
      <c r="R210" s="33"/>
      <c r="S210" s="26"/>
      <c r="T210" s="26"/>
      <c r="U210" s="33"/>
      <c r="V210" s="26"/>
      <c r="W210" s="26"/>
      <c r="X210" s="34"/>
      <c r="Y210" s="30"/>
      <c r="Z210" s="30"/>
      <c r="AA210" s="30"/>
      <c r="AB210" s="34"/>
      <c r="AC210" s="30"/>
      <c r="AD210" s="28"/>
    </row>
    <row r="211" spans="2:30" ht="15.6" x14ac:dyDescent="0.3">
      <c r="B211" s="26"/>
      <c r="C211" s="27"/>
      <c r="D211" s="26"/>
      <c r="E211" s="26"/>
      <c r="F211" s="33"/>
      <c r="G211" s="26"/>
      <c r="H211" s="26"/>
      <c r="I211" s="33"/>
      <c r="J211" s="26"/>
      <c r="K211" s="26"/>
      <c r="L211" s="33"/>
      <c r="M211" s="26"/>
      <c r="N211" s="26"/>
      <c r="O211" s="33"/>
      <c r="P211" s="26"/>
      <c r="Q211" s="26"/>
      <c r="R211" s="33"/>
      <c r="S211" s="26"/>
      <c r="T211" s="26"/>
      <c r="U211" s="33"/>
      <c r="V211" s="26"/>
      <c r="W211" s="26"/>
      <c r="X211" s="34"/>
      <c r="Y211" s="30"/>
      <c r="Z211" s="30"/>
      <c r="AA211" s="30"/>
      <c r="AB211" s="34"/>
      <c r="AC211" s="30"/>
      <c r="AD211" s="28"/>
    </row>
    <row r="212" spans="2:30" ht="15.6" x14ac:dyDescent="0.3">
      <c r="B212" s="26"/>
      <c r="C212" s="27"/>
      <c r="D212" s="26"/>
      <c r="E212" s="26"/>
      <c r="F212" s="33"/>
      <c r="G212" s="26"/>
      <c r="H212" s="26"/>
      <c r="I212" s="33"/>
      <c r="J212" s="26"/>
      <c r="K212" s="26"/>
      <c r="L212" s="33"/>
      <c r="M212" s="26"/>
      <c r="N212" s="26"/>
      <c r="O212" s="33"/>
      <c r="P212" s="26"/>
      <c r="Q212" s="26"/>
      <c r="R212" s="33"/>
      <c r="S212" s="26"/>
      <c r="T212" s="26"/>
      <c r="U212" s="33"/>
      <c r="V212" s="26"/>
      <c r="W212" s="26"/>
      <c r="X212" s="34"/>
      <c r="Y212" s="30"/>
      <c r="Z212" s="30"/>
      <c r="AA212" s="30"/>
      <c r="AB212" s="34"/>
      <c r="AC212" s="30"/>
      <c r="AD212" s="28"/>
    </row>
    <row r="213" spans="2:30" ht="15.6" x14ac:dyDescent="0.3">
      <c r="B213" s="26"/>
      <c r="C213" s="27"/>
      <c r="D213" s="26"/>
      <c r="E213" s="26"/>
      <c r="F213" s="33"/>
      <c r="G213" s="26"/>
      <c r="H213" s="26"/>
      <c r="I213" s="33"/>
      <c r="J213" s="26"/>
      <c r="K213" s="26"/>
      <c r="L213" s="33"/>
      <c r="M213" s="26"/>
      <c r="N213" s="26"/>
      <c r="O213" s="33"/>
      <c r="P213" s="26"/>
      <c r="Q213" s="26"/>
      <c r="R213" s="33"/>
      <c r="S213" s="26"/>
      <c r="T213" s="26"/>
      <c r="U213" s="33"/>
      <c r="V213" s="26"/>
      <c r="W213" s="26"/>
      <c r="X213" s="34"/>
      <c r="Y213" s="30"/>
      <c r="Z213" s="30"/>
      <c r="AA213" s="30"/>
      <c r="AB213" s="34"/>
      <c r="AC213" s="30"/>
      <c r="AD213" s="28"/>
    </row>
    <row r="214" spans="2:30" ht="15.6" x14ac:dyDescent="0.3">
      <c r="B214" s="26"/>
      <c r="C214" s="27"/>
      <c r="D214" s="26"/>
      <c r="E214" s="26"/>
      <c r="F214" s="33"/>
      <c r="G214" s="26"/>
      <c r="H214" s="26"/>
      <c r="I214" s="33"/>
      <c r="J214" s="26"/>
      <c r="K214" s="26"/>
      <c r="L214" s="33"/>
      <c r="M214" s="26"/>
      <c r="N214" s="26"/>
      <c r="O214" s="33"/>
      <c r="P214" s="26"/>
      <c r="Q214" s="26"/>
      <c r="R214" s="33"/>
      <c r="S214" s="26"/>
      <c r="T214" s="26"/>
      <c r="U214" s="33"/>
      <c r="V214" s="26"/>
      <c r="W214" s="26"/>
      <c r="X214" s="34"/>
      <c r="Y214" s="30"/>
      <c r="Z214" s="30"/>
      <c r="AA214" s="30"/>
      <c r="AB214" s="34"/>
      <c r="AC214" s="30"/>
      <c r="AD214" s="28"/>
    </row>
    <row r="215" spans="2:30" ht="15.6" x14ac:dyDescent="0.3">
      <c r="B215" s="26"/>
      <c r="C215" s="27"/>
      <c r="D215" s="26"/>
      <c r="E215" s="26"/>
      <c r="F215" s="33"/>
      <c r="G215" s="26"/>
      <c r="H215" s="26"/>
      <c r="I215" s="33"/>
      <c r="J215" s="26"/>
      <c r="K215" s="26"/>
      <c r="L215" s="33"/>
      <c r="M215" s="26"/>
      <c r="N215" s="26"/>
      <c r="O215" s="33"/>
      <c r="P215" s="26"/>
      <c r="Q215" s="26"/>
      <c r="R215" s="33"/>
      <c r="S215" s="26"/>
      <c r="T215" s="26"/>
      <c r="U215" s="33"/>
      <c r="V215" s="26"/>
      <c r="W215" s="26"/>
      <c r="X215" s="34"/>
      <c r="Y215" s="30"/>
      <c r="Z215" s="30"/>
      <c r="AA215" s="30"/>
      <c r="AB215" s="34"/>
      <c r="AC215" s="30"/>
      <c r="AD215" s="28"/>
    </row>
    <row r="216" spans="2:30" ht="15.6" x14ac:dyDescent="0.3">
      <c r="B216" s="3" t="s">
        <v>220</v>
      </c>
      <c r="C216" s="11"/>
      <c r="D216" s="8"/>
      <c r="E216" s="8"/>
      <c r="F216" s="8"/>
      <c r="G216" s="22"/>
      <c r="H216" s="22" t="s">
        <v>468</v>
      </c>
      <c r="I216" s="22"/>
      <c r="J216" s="22"/>
      <c r="K216" s="22"/>
      <c r="L216" s="22"/>
      <c r="M216" s="22"/>
      <c r="N216" s="22"/>
      <c r="O216" s="22"/>
      <c r="P216" s="22" t="s">
        <v>82</v>
      </c>
      <c r="Q216" s="22"/>
      <c r="R216" s="22"/>
      <c r="S216" s="22"/>
      <c r="T216" s="22"/>
      <c r="U216" s="22"/>
      <c r="V216" s="22" t="s">
        <v>83</v>
      </c>
      <c r="W216" s="22"/>
      <c r="X216" s="22"/>
      <c r="Y216" s="22"/>
      <c r="Z216" s="22"/>
      <c r="AA216" s="9"/>
      <c r="AB216" s="10"/>
      <c r="AC216" s="5" t="s">
        <v>84</v>
      </c>
      <c r="AD216" s="5"/>
    </row>
    <row r="217" spans="2:30" x14ac:dyDescent="0.25">
      <c r="B217" s="3" t="s">
        <v>89</v>
      </c>
      <c r="C217" s="3"/>
      <c r="D217" s="3"/>
      <c r="E217" s="3"/>
      <c r="F217" s="3"/>
      <c r="G217" s="22" t="s">
        <v>90</v>
      </c>
      <c r="H217" s="22"/>
      <c r="I217" s="22"/>
      <c r="J217" s="22"/>
      <c r="K217" s="22"/>
      <c r="L217" s="22"/>
      <c r="M217" s="22"/>
      <c r="N217" s="22"/>
      <c r="O217" s="22" t="s">
        <v>462</v>
      </c>
      <c r="P217" s="22"/>
      <c r="Q217" s="22"/>
      <c r="R217" s="22"/>
      <c r="S217" s="22"/>
      <c r="T217" s="22"/>
      <c r="U217" s="22" t="s">
        <v>463</v>
      </c>
      <c r="V217" s="22"/>
      <c r="W217" s="22"/>
      <c r="X217" s="22"/>
      <c r="Y217" s="22"/>
      <c r="Z217" s="22"/>
      <c r="AA217" s="3"/>
      <c r="AB217" s="3"/>
      <c r="AC217" s="3" t="s">
        <v>85</v>
      </c>
      <c r="AD217" s="3"/>
    </row>
    <row r="218" spans="2:30" x14ac:dyDescent="0.25">
      <c r="B218" s="3" t="s">
        <v>466</v>
      </c>
      <c r="C218" s="3"/>
      <c r="D218" s="3"/>
      <c r="E218" s="3"/>
      <c r="F218" s="3"/>
      <c r="G218" s="22" t="s">
        <v>91</v>
      </c>
      <c r="H218" s="22"/>
      <c r="I218" s="22"/>
      <c r="J218" s="22"/>
      <c r="K218" s="22"/>
      <c r="L218" s="22"/>
      <c r="M218" s="22"/>
      <c r="N218" s="22"/>
      <c r="O218" s="22" t="s">
        <v>94</v>
      </c>
      <c r="P218" s="22"/>
      <c r="Q218" s="22"/>
      <c r="R218" s="22"/>
      <c r="S218" s="22"/>
      <c r="T218" s="22"/>
      <c r="U218" s="22" t="s">
        <v>97</v>
      </c>
      <c r="V218" s="22"/>
      <c r="W218" s="22"/>
      <c r="X218" s="22"/>
      <c r="Y218" s="22"/>
      <c r="Z218" s="22"/>
      <c r="AA218" s="3"/>
      <c r="AB218" s="3"/>
      <c r="AC218" s="3" t="s">
        <v>99</v>
      </c>
      <c r="AD218" s="3"/>
    </row>
    <row r="219" spans="2:30" x14ac:dyDescent="0.25">
      <c r="B219" s="3" t="s">
        <v>89</v>
      </c>
      <c r="C219" s="3"/>
      <c r="D219" s="3"/>
      <c r="E219" s="3"/>
      <c r="F219" s="3"/>
      <c r="G219" s="22" t="s">
        <v>92</v>
      </c>
      <c r="H219" s="22"/>
      <c r="I219" s="22"/>
      <c r="J219" s="22"/>
      <c r="K219" s="22"/>
      <c r="L219" s="22"/>
      <c r="M219" s="22"/>
      <c r="N219" s="22"/>
      <c r="O219" s="22" t="s">
        <v>95</v>
      </c>
      <c r="P219" s="22"/>
      <c r="Q219" s="22"/>
      <c r="R219" s="22"/>
      <c r="S219" s="22"/>
      <c r="T219" s="22"/>
      <c r="U219" s="22" t="s">
        <v>98</v>
      </c>
      <c r="V219" s="22"/>
      <c r="W219" s="22"/>
      <c r="X219" s="22"/>
      <c r="Y219" s="22"/>
      <c r="Z219" s="22"/>
      <c r="AA219" s="3"/>
    </row>
    <row r="241" spans="3:3" x14ac:dyDescent="0.25">
      <c r="C241" t="s">
        <v>537</v>
      </c>
    </row>
  </sheetData>
  <mergeCells count="84">
    <mergeCell ref="Y193:Y195"/>
    <mergeCell ref="Z193:Z195"/>
    <mergeCell ref="AA193:AA195"/>
    <mergeCell ref="AB193:AB195"/>
    <mergeCell ref="AC193:AC195"/>
    <mergeCell ref="AD193:AD195"/>
    <mergeCell ref="AC156:AC158"/>
    <mergeCell ref="AD156:AD158"/>
    <mergeCell ref="B193:B195"/>
    <mergeCell ref="C193:C195"/>
    <mergeCell ref="D193:F193"/>
    <mergeCell ref="G193:I193"/>
    <mergeCell ref="J193:L193"/>
    <mergeCell ref="M193:O193"/>
    <mergeCell ref="P193:R193"/>
    <mergeCell ref="V193:X193"/>
    <mergeCell ref="P156:R156"/>
    <mergeCell ref="V156:X156"/>
    <mergeCell ref="Y156:Y158"/>
    <mergeCell ref="Z156:Z158"/>
    <mergeCell ref="AA156:AA158"/>
    <mergeCell ref="AB156:AB158"/>
    <mergeCell ref="B156:B158"/>
    <mergeCell ref="C156:C158"/>
    <mergeCell ref="D156:F156"/>
    <mergeCell ref="G156:I156"/>
    <mergeCell ref="J156:L156"/>
    <mergeCell ref="M156:O156"/>
    <mergeCell ref="Y119:Y121"/>
    <mergeCell ref="Z119:Z121"/>
    <mergeCell ref="AA119:AA121"/>
    <mergeCell ref="AB119:AB121"/>
    <mergeCell ref="AC119:AC121"/>
    <mergeCell ref="AD119:AD121"/>
    <mergeCell ref="AC82:AC84"/>
    <mergeCell ref="AD82:AD84"/>
    <mergeCell ref="B119:B121"/>
    <mergeCell ref="C119:C121"/>
    <mergeCell ref="D119:F119"/>
    <mergeCell ref="G119:I119"/>
    <mergeCell ref="J119:L119"/>
    <mergeCell ref="M119:O119"/>
    <mergeCell ref="P119:R119"/>
    <mergeCell ref="V119:X119"/>
    <mergeCell ref="P82:R82"/>
    <mergeCell ref="V82:X82"/>
    <mergeCell ref="Y82:Y84"/>
    <mergeCell ref="Z82:Z84"/>
    <mergeCell ref="AA82:AA84"/>
    <mergeCell ref="AB82:AB84"/>
    <mergeCell ref="B82:B84"/>
    <mergeCell ref="C82:C84"/>
    <mergeCell ref="D82:F82"/>
    <mergeCell ref="G82:I82"/>
    <mergeCell ref="J82:L82"/>
    <mergeCell ref="M82:O82"/>
    <mergeCell ref="Y45:Y47"/>
    <mergeCell ref="Z45:Z47"/>
    <mergeCell ref="AA45:AA47"/>
    <mergeCell ref="AB45:AB47"/>
    <mergeCell ref="AC45:AC47"/>
    <mergeCell ref="AD45:AD47"/>
    <mergeCell ref="AC8:AC10"/>
    <mergeCell ref="AD8:AD10"/>
    <mergeCell ref="B45:B47"/>
    <mergeCell ref="C45:C47"/>
    <mergeCell ref="D45:F45"/>
    <mergeCell ref="G45:I45"/>
    <mergeCell ref="J45:L45"/>
    <mergeCell ref="M45:O45"/>
    <mergeCell ref="P45:R45"/>
    <mergeCell ref="V45:X45"/>
    <mergeCell ref="P8:R8"/>
    <mergeCell ref="V8:X8"/>
    <mergeCell ref="Y8:Y10"/>
    <mergeCell ref="Z8:Z10"/>
    <mergeCell ref="AA8:AA10"/>
    <mergeCell ref="AB8:AB10"/>
    <mergeCell ref="B8:B10"/>
    <mergeCell ref="C8:C10"/>
    <mergeCell ref="D8:F8"/>
    <mergeCell ref="G8:I8"/>
    <mergeCell ref="J8:L8"/>
    <mergeCell ref="M8:O8"/>
  </mergeCells>
  <pageMargins left="0.11811023622047245" right="0.11811023622047245" top="0.39370078740157483" bottom="0.39370078740157483" header="0.31496062992125984" footer="0.31496062992125984"/>
  <pageSetup paperSize="9" scale="88" fitToHeight="0" orientation="landscape" r:id="rId1"/>
  <rowBreaks count="5" manualBreakCount="5">
    <brk id="38" max="16383" man="1"/>
    <brk id="75" max="16383" man="1"/>
    <brk id="112" max="16383" man="1"/>
    <brk id="149" max="16383" man="1"/>
    <brk id="1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النطاقات المسماة</vt:lpstr>
      </vt:variant>
      <vt:variant>
        <vt:i4>5</vt:i4>
      </vt:variant>
    </vt:vector>
  </HeadingPairs>
  <TitlesOfParts>
    <vt:vector size="10" baseType="lpstr">
      <vt:lpstr>الاول</vt:lpstr>
      <vt:lpstr>التاني</vt:lpstr>
      <vt:lpstr>السابع</vt:lpstr>
      <vt:lpstr>التامن</vt:lpstr>
      <vt:lpstr>التاسع</vt:lpstr>
      <vt:lpstr>الاول!Print_Area</vt:lpstr>
      <vt:lpstr>التاسع!Print_Area</vt:lpstr>
      <vt:lpstr>التامن!Print_Area</vt:lpstr>
      <vt:lpstr>التاني!Print_Area</vt:lpstr>
      <vt:lpstr>السابع!Print_Area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2025-07-16T14:20:15Z</dcterms:modified>
</cp:coreProperties>
</file>